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Science\BIODataSvc\IN\BBMP\BIOCHEM\BedfordBasin2025\"/>
    </mc:Choice>
  </mc:AlternateContent>
  <xr:revisionPtr revIDLastSave="0" documentId="13_ncr:1_{27258F03-BF51-4C9E-BFBE-EABB389B7C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ing sheet" sheetId="1" r:id="rId1"/>
    <sheet name="Final Values Only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23" i="1" l="1"/>
  <c r="I123" i="1" s="1"/>
  <c r="G123" i="1"/>
  <c r="J123" i="1" s="1"/>
  <c r="F123" i="1"/>
  <c r="H122" i="1"/>
  <c r="I122" i="1" s="1"/>
  <c r="G122" i="1"/>
  <c r="J122" i="1" s="1"/>
  <c r="F122" i="1"/>
  <c r="H121" i="1"/>
  <c r="I121" i="1" s="1"/>
  <c r="G121" i="1"/>
  <c r="J121" i="1" s="1"/>
  <c r="F121" i="1"/>
  <c r="H120" i="1"/>
  <c r="I120" i="1" s="1"/>
  <c r="G120" i="1"/>
  <c r="J120" i="1" s="1"/>
  <c r="F120" i="1"/>
  <c r="H119" i="1"/>
  <c r="I119" i="1" s="1"/>
  <c r="G119" i="1"/>
  <c r="J119" i="1" s="1"/>
  <c r="F119" i="1"/>
  <c r="H118" i="1"/>
  <c r="I118" i="1" s="1"/>
  <c r="G118" i="1"/>
  <c r="J118" i="1" s="1"/>
  <c r="N118" i="1" s="1"/>
  <c r="F118" i="1"/>
  <c r="H117" i="1"/>
  <c r="G117" i="1"/>
  <c r="J117" i="1" s="1"/>
  <c r="F117" i="1"/>
  <c r="H116" i="1"/>
  <c r="I116" i="1" s="1"/>
  <c r="G116" i="1"/>
  <c r="J116" i="1" s="1"/>
  <c r="N116" i="1" s="1"/>
  <c r="F116" i="1"/>
  <c r="H115" i="1"/>
  <c r="G115" i="1"/>
  <c r="J115" i="1" s="1"/>
  <c r="F115" i="1"/>
  <c r="H114" i="1"/>
  <c r="I114" i="1" s="1"/>
  <c r="G114" i="1"/>
  <c r="F114" i="1"/>
  <c r="H113" i="1"/>
  <c r="G113" i="1"/>
  <c r="J113" i="1" s="1"/>
  <c r="F113" i="1"/>
  <c r="H112" i="1"/>
  <c r="I112" i="1" s="1"/>
  <c r="G112" i="1"/>
  <c r="F112" i="1"/>
  <c r="H111" i="1"/>
  <c r="G111" i="1"/>
  <c r="J111" i="1" s="1"/>
  <c r="F111" i="1"/>
  <c r="H110" i="1"/>
  <c r="I110" i="1" s="1"/>
  <c r="G110" i="1"/>
  <c r="J110" i="1" s="1"/>
  <c r="N110" i="1" s="1"/>
  <c r="F110" i="1"/>
  <c r="H109" i="1"/>
  <c r="G109" i="1"/>
  <c r="J109" i="1" s="1"/>
  <c r="F109" i="1"/>
  <c r="H108" i="1"/>
  <c r="I108" i="1" s="1"/>
  <c r="G108" i="1"/>
  <c r="J108" i="1" s="1"/>
  <c r="N108" i="1" s="1"/>
  <c r="F108" i="1"/>
  <c r="H107" i="1"/>
  <c r="G107" i="1"/>
  <c r="J107" i="1" s="1"/>
  <c r="F107" i="1"/>
  <c r="H106" i="1"/>
  <c r="I106" i="1" s="1"/>
  <c r="G106" i="1"/>
  <c r="F106" i="1"/>
  <c r="H105" i="1"/>
  <c r="G105" i="1"/>
  <c r="J105" i="1" s="1"/>
  <c r="F105" i="1"/>
  <c r="H104" i="1"/>
  <c r="I104" i="1" s="1"/>
  <c r="G104" i="1"/>
  <c r="F104" i="1"/>
  <c r="H103" i="1"/>
  <c r="G103" i="1"/>
  <c r="J103" i="1" s="1"/>
  <c r="F103" i="1"/>
  <c r="H102" i="1"/>
  <c r="I102" i="1" s="1"/>
  <c r="L102" i="1" s="1"/>
  <c r="G102" i="1"/>
  <c r="J102" i="1" s="1"/>
  <c r="N102" i="1" s="1"/>
  <c r="F102" i="1"/>
  <c r="H101" i="1"/>
  <c r="G101" i="1"/>
  <c r="J101" i="1" s="1"/>
  <c r="F101" i="1"/>
  <c r="H100" i="1"/>
  <c r="I100" i="1" s="1"/>
  <c r="L100" i="1" s="1"/>
  <c r="G100" i="1"/>
  <c r="J100" i="1" s="1"/>
  <c r="N100" i="1" s="1"/>
  <c r="F100" i="1"/>
  <c r="H99" i="1"/>
  <c r="G99" i="1"/>
  <c r="J99" i="1" s="1"/>
  <c r="F99" i="1"/>
  <c r="H98" i="1"/>
  <c r="I98" i="1" s="1"/>
  <c r="L98" i="1" s="1"/>
  <c r="G98" i="1"/>
  <c r="J98" i="1" s="1"/>
  <c r="N98" i="1" s="1"/>
  <c r="F98" i="1"/>
  <c r="H97" i="1"/>
  <c r="G97" i="1"/>
  <c r="J97" i="1" s="1"/>
  <c r="F97" i="1"/>
  <c r="H96" i="1"/>
  <c r="I96" i="1" s="1"/>
  <c r="G96" i="1"/>
  <c r="J96" i="1" s="1"/>
  <c r="N96" i="1" s="1"/>
  <c r="F96" i="1"/>
  <c r="H95" i="1"/>
  <c r="G95" i="1"/>
  <c r="J95" i="1" s="1"/>
  <c r="F95" i="1"/>
  <c r="H94" i="1"/>
  <c r="I94" i="1" s="1"/>
  <c r="G94" i="1"/>
  <c r="J94" i="1" s="1"/>
  <c r="N94" i="1" s="1"/>
  <c r="F94" i="1"/>
  <c r="H93" i="1"/>
  <c r="G93" i="1"/>
  <c r="J93" i="1" s="1"/>
  <c r="F93" i="1"/>
  <c r="H92" i="1"/>
  <c r="I92" i="1" s="1"/>
  <c r="L92" i="1" s="1"/>
  <c r="G92" i="1"/>
  <c r="J92" i="1" s="1"/>
  <c r="N92" i="1" s="1"/>
  <c r="F92" i="1"/>
  <c r="H91" i="1"/>
  <c r="G91" i="1"/>
  <c r="J91" i="1" s="1"/>
  <c r="F91" i="1"/>
  <c r="H90" i="1"/>
  <c r="I90" i="1" s="1"/>
  <c r="L90" i="1" s="1"/>
  <c r="G90" i="1"/>
  <c r="J90" i="1" s="1"/>
  <c r="N90" i="1" s="1"/>
  <c r="F90" i="1"/>
  <c r="H89" i="1"/>
  <c r="G89" i="1"/>
  <c r="J89" i="1" s="1"/>
  <c r="F89" i="1"/>
  <c r="H88" i="1"/>
  <c r="I88" i="1" s="1"/>
  <c r="G88" i="1"/>
  <c r="F88" i="1"/>
  <c r="H87" i="1"/>
  <c r="G87" i="1"/>
  <c r="J87" i="1" s="1"/>
  <c r="F87" i="1"/>
  <c r="N86" i="1"/>
  <c r="H86" i="1"/>
  <c r="G86" i="1"/>
  <c r="J86" i="1" s="1"/>
  <c r="F86" i="1"/>
  <c r="H85" i="1"/>
  <c r="G85" i="1"/>
  <c r="J85" i="1" s="1"/>
  <c r="F85" i="1"/>
  <c r="H84" i="1"/>
  <c r="G84" i="1"/>
  <c r="F84" i="1"/>
  <c r="H83" i="1"/>
  <c r="G83" i="1"/>
  <c r="J83" i="1" s="1"/>
  <c r="F83" i="1"/>
  <c r="H82" i="1"/>
  <c r="G82" i="1"/>
  <c r="F82" i="1"/>
  <c r="H81" i="1"/>
  <c r="G81" i="1"/>
  <c r="J81" i="1" s="1"/>
  <c r="F81" i="1"/>
  <c r="H80" i="1"/>
  <c r="G80" i="1"/>
  <c r="F80" i="1"/>
  <c r="H79" i="1"/>
  <c r="I79" i="1" s="1"/>
  <c r="L79" i="1" s="1"/>
  <c r="G79" i="1"/>
  <c r="J79" i="1" s="1"/>
  <c r="F79" i="1"/>
  <c r="H78" i="1"/>
  <c r="G78" i="1"/>
  <c r="F78" i="1"/>
  <c r="H77" i="1"/>
  <c r="G77" i="1"/>
  <c r="J77" i="1" s="1"/>
  <c r="F77" i="1"/>
  <c r="H76" i="1"/>
  <c r="G76" i="1"/>
  <c r="F76" i="1"/>
  <c r="H75" i="1"/>
  <c r="I75" i="1" s="1"/>
  <c r="L75" i="1" s="1"/>
  <c r="G75" i="1"/>
  <c r="J75" i="1" s="1"/>
  <c r="F75" i="1"/>
  <c r="H74" i="1"/>
  <c r="I74" i="1" s="1"/>
  <c r="L74" i="1" s="1"/>
  <c r="G74" i="1"/>
  <c r="J74" i="1" s="1"/>
  <c r="N74" i="1" s="1"/>
  <c r="F74" i="1"/>
  <c r="H73" i="1"/>
  <c r="G73" i="1"/>
  <c r="J73" i="1" s="1"/>
  <c r="F73" i="1"/>
  <c r="H72" i="1"/>
  <c r="I72" i="1" s="1"/>
  <c r="G72" i="1"/>
  <c r="F72" i="1"/>
  <c r="H71" i="1"/>
  <c r="G71" i="1"/>
  <c r="J71" i="1" s="1"/>
  <c r="F71" i="1"/>
  <c r="N70" i="1"/>
  <c r="H70" i="1"/>
  <c r="G70" i="1"/>
  <c r="J70" i="1" s="1"/>
  <c r="F70" i="1"/>
  <c r="H69" i="1"/>
  <c r="G69" i="1"/>
  <c r="J69" i="1" s="1"/>
  <c r="F69" i="1"/>
  <c r="H68" i="1"/>
  <c r="G68" i="1"/>
  <c r="F68" i="1"/>
  <c r="J67" i="1"/>
  <c r="H67" i="1"/>
  <c r="I67" i="1" s="1"/>
  <c r="L67" i="1" s="1"/>
  <c r="G67" i="1"/>
  <c r="F67" i="1"/>
  <c r="H66" i="1"/>
  <c r="G66" i="1"/>
  <c r="F66" i="1"/>
  <c r="H65" i="1"/>
  <c r="G65" i="1"/>
  <c r="J65" i="1" s="1"/>
  <c r="N64" i="1" s="1"/>
  <c r="F65" i="1"/>
  <c r="H64" i="1"/>
  <c r="G64" i="1"/>
  <c r="J64" i="1" s="1"/>
  <c r="F64" i="1"/>
  <c r="H63" i="1"/>
  <c r="G63" i="1"/>
  <c r="J63" i="1" s="1"/>
  <c r="F63" i="1"/>
  <c r="H62" i="1"/>
  <c r="G62" i="1"/>
  <c r="F62" i="1"/>
  <c r="J61" i="1"/>
  <c r="H61" i="1"/>
  <c r="G61" i="1"/>
  <c r="F61" i="1"/>
  <c r="H60" i="1"/>
  <c r="G60" i="1"/>
  <c r="J60" i="1" s="1"/>
  <c r="N60" i="1" s="1"/>
  <c r="F60" i="1"/>
  <c r="L104" i="1" l="1"/>
  <c r="K104" i="1"/>
  <c r="K96" i="1"/>
  <c r="J78" i="1"/>
  <c r="N78" i="1" s="1"/>
  <c r="I83" i="1"/>
  <c r="J62" i="1"/>
  <c r="N62" i="1" s="1"/>
  <c r="L121" i="1"/>
  <c r="K121" i="1"/>
  <c r="I80" i="1"/>
  <c r="I87" i="1"/>
  <c r="M108" i="1"/>
  <c r="L108" i="1"/>
  <c r="K108" i="1"/>
  <c r="L116" i="1"/>
  <c r="K116" i="1"/>
  <c r="K112" i="1"/>
  <c r="I81" i="1"/>
  <c r="K94" i="1"/>
  <c r="K102" i="1"/>
  <c r="L123" i="1"/>
  <c r="K123" i="1"/>
  <c r="M118" i="1"/>
  <c r="L118" i="1"/>
  <c r="K118" i="1"/>
  <c r="I78" i="1"/>
  <c r="I105" i="1"/>
  <c r="I62" i="1"/>
  <c r="I71" i="1"/>
  <c r="J82" i="1"/>
  <c r="N82" i="1" s="1"/>
  <c r="I65" i="1"/>
  <c r="I68" i="1"/>
  <c r="I73" i="1"/>
  <c r="I82" i="1"/>
  <c r="J84" i="1"/>
  <c r="N84" i="1" s="1"/>
  <c r="I89" i="1"/>
  <c r="I91" i="1"/>
  <c r="I93" i="1"/>
  <c r="I95" i="1"/>
  <c r="I97" i="1"/>
  <c r="I99" i="1"/>
  <c r="I101" i="1"/>
  <c r="I103" i="1"/>
  <c r="J106" i="1"/>
  <c r="N106" i="1" s="1"/>
  <c r="I111" i="1"/>
  <c r="M110" i="1" s="1"/>
  <c r="J114" i="1"/>
  <c r="N114" i="1" s="1"/>
  <c r="L119" i="1"/>
  <c r="K119" i="1"/>
  <c r="N122" i="1"/>
  <c r="M120" i="1"/>
  <c r="L120" i="1"/>
  <c r="K120" i="1"/>
  <c r="J66" i="1"/>
  <c r="N66" i="1" s="1"/>
  <c r="J76" i="1"/>
  <c r="N76" i="1" s="1"/>
  <c r="M92" i="1"/>
  <c r="K92" i="1"/>
  <c r="M98" i="1"/>
  <c r="K98" i="1"/>
  <c r="I63" i="1"/>
  <c r="K67" i="1"/>
  <c r="L96" i="1"/>
  <c r="L110" i="1"/>
  <c r="K110" i="1"/>
  <c r="J68" i="1"/>
  <c r="N68" i="1" s="1"/>
  <c r="I84" i="1"/>
  <c r="L106" i="1"/>
  <c r="K106" i="1"/>
  <c r="M114" i="1"/>
  <c r="L114" i="1"/>
  <c r="K114" i="1"/>
  <c r="M122" i="1"/>
  <c r="L122" i="1"/>
  <c r="K122" i="1"/>
  <c r="M72" i="1"/>
  <c r="K72" i="1"/>
  <c r="M88" i="1"/>
  <c r="I60" i="1"/>
  <c r="M74" i="1"/>
  <c r="K74" i="1"/>
  <c r="K79" i="1"/>
  <c r="K90" i="1"/>
  <c r="M100" i="1"/>
  <c r="K100" i="1"/>
  <c r="I107" i="1"/>
  <c r="M106" i="1" s="1"/>
  <c r="I115" i="1"/>
  <c r="I66" i="1"/>
  <c r="I76" i="1"/>
  <c r="L94" i="1"/>
  <c r="I69" i="1"/>
  <c r="J80" i="1"/>
  <c r="N80" i="1" s="1"/>
  <c r="I85" i="1"/>
  <c r="I113" i="1"/>
  <c r="I61" i="1"/>
  <c r="I64" i="1"/>
  <c r="I70" i="1"/>
  <c r="J72" i="1"/>
  <c r="N72" i="1" s="1"/>
  <c r="K75" i="1"/>
  <c r="I77" i="1"/>
  <c r="I86" i="1"/>
  <c r="J88" i="1"/>
  <c r="N88" i="1" s="1"/>
  <c r="J104" i="1"/>
  <c r="N104" i="1" s="1"/>
  <c r="I109" i="1"/>
  <c r="J112" i="1"/>
  <c r="N112" i="1" s="1"/>
  <c r="I117" i="1"/>
  <c r="N120" i="1"/>
  <c r="M22" i="1"/>
  <c r="N22" i="1"/>
  <c r="M24" i="1"/>
  <c r="N24" i="1"/>
  <c r="M26" i="1"/>
  <c r="N26" i="1"/>
  <c r="M28" i="1"/>
  <c r="N28" i="1"/>
  <c r="M30" i="1"/>
  <c r="N30" i="1"/>
  <c r="M32" i="1"/>
  <c r="N32" i="1"/>
  <c r="M34" i="1"/>
  <c r="N34" i="1"/>
  <c r="M36" i="1"/>
  <c r="N36" i="1"/>
  <c r="M38" i="1"/>
  <c r="N38" i="1"/>
  <c r="M40" i="1"/>
  <c r="N40" i="1"/>
  <c r="M42" i="1"/>
  <c r="N42" i="1"/>
  <c r="M44" i="1"/>
  <c r="N44" i="1"/>
  <c r="M46" i="1"/>
  <c r="N46" i="1"/>
  <c r="M48" i="1"/>
  <c r="N48" i="1"/>
  <c r="M50" i="1"/>
  <c r="N50" i="1"/>
  <c r="M52" i="1"/>
  <c r="N52" i="1"/>
  <c r="M54" i="1"/>
  <c r="N54" i="1"/>
  <c r="M56" i="1"/>
  <c r="N56" i="1"/>
  <c r="M58" i="1"/>
  <c r="N58" i="1"/>
  <c r="F22" i="1"/>
  <c r="G22" i="1"/>
  <c r="H22" i="1"/>
  <c r="I22" i="1"/>
  <c r="J22" i="1"/>
  <c r="K22" i="1"/>
  <c r="L22" i="1"/>
  <c r="F23" i="1"/>
  <c r="J23" i="1" s="1"/>
  <c r="G23" i="1"/>
  <c r="H23" i="1"/>
  <c r="I23" i="1" s="1"/>
  <c r="F24" i="1"/>
  <c r="I24" i="1" s="1"/>
  <c r="G24" i="1"/>
  <c r="J24" i="1" s="1"/>
  <c r="H24" i="1"/>
  <c r="F25" i="1"/>
  <c r="G25" i="1"/>
  <c r="J25" i="1" s="1"/>
  <c r="H25" i="1"/>
  <c r="I25" i="1" s="1"/>
  <c r="F26" i="1"/>
  <c r="G26" i="1"/>
  <c r="J26" i="1" s="1"/>
  <c r="H26" i="1"/>
  <c r="I26" i="1"/>
  <c r="K26" i="1" s="1"/>
  <c r="F27" i="1"/>
  <c r="G27" i="1"/>
  <c r="H27" i="1"/>
  <c r="I27" i="1"/>
  <c r="K27" i="1" s="1"/>
  <c r="J27" i="1"/>
  <c r="F28" i="1"/>
  <c r="G28" i="1"/>
  <c r="H28" i="1"/>
  <c r="I28" i="1"/>
  <c r="L28" i="1" s="1"/>
  <c r="J28" i="1"/>
  <c r="K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J31" i="1" s="1"/>
  <c r="G31" i="1"/>
  <c r="H31" i="1"/>
  <c r="I31" i="1" s="1"/>
  <c r="F32" i="1"/>
  <c r="G32" i="1"/>
  <c r="J32" i="1" s="1"/>
  <c r="H32" i="1"/>
  <c r="I32" i="1" s="1"/>
  <c r="F33" i="1"/>
  <c r="G33" i="1"/>
  <c r="J33" i="1" s="1"/>
  <c r="H33" i="1"/>
  <c r="I33" i="1" s="1"/>
  <c r="F34" i="1"/>
  <c r="G34" i="1"/>
  <c r="J34" i="1" s="1"/>
  <c r="H34" i="1"/>
  <c r="I34" i="1"/>
  <c r="F35" i="1"/>
  <c r="G35" i="1"/>
  <c r="H35" i="1"/>
  <c r="I35" i="1"/>
  <c r="K35" i="1" s="1"/>
  <c r="J35" i="1"/>
  <c r="F36" i="1"/>
  <c r="G36" i="1"/>
  <c r="H36" i="1"/>
  <c r="I36" i="1"/>
  <c r="L36" i="1" s="1"/>
  <c r="J36" i="1"/>
  <c r="K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I39" i="1" s="1"/>
  <c r="G39" i="1"/>
  <c r="H39" i="1"/>
  <c r="F40" i="1"/>
  <c r="I40" i="1" s="1"/>
  <c r="G40" i="1"/>
  <c r="J40" i="1" s="1"/>
  <c r="H40" i="1"/>
  <c r="F41" i="1"/>
  <c r="G41" i="1"/>
  <c r="J41" i="1" s="1"/>
  <c r="H41" i="1"/>
  <c r="I41" i="1" s="1"/>
  <c r="F42" i="1"/>
  <c r="G42" i="1"/>
  <c r="J42" i="1" s="1"/>
  <c r="H42" i="1"/>
  <c r="I42" i="1"/>
  <c r="F43" i="1"/>
  <c r="G43" i="1"/>
  <c r="H43" i="1"/>
  <c r="I43" i="1"/>
  <c r="K43" i="1" s="1"/>
  <c r="J43" i="1"/>
  <c r="F44" i="1"/>
  <c r="G44" i="1"/>
  <c r="H44" i="1"/>
  <c r="I44" i="1"/>
  <c r="L44" i="1" s="1"/>
  <c r="J44" i="1"/>
  <c r="K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J47" i="1" s="1"/>
  <c r="G47" i="1"/>
  <c r="H47" i="1"/>
  <c r="I47" i="1" s="1"/>
  <c r="F48" i="1"/>
  <c r="G48" i="1"/>
  <c r="J48" i="1" s="1"/>
  <c r="H48" i="1"/>
  <c r="I48" i="1" s="1"/>
  <c r="F49" i="1"/>
  <c r="G49" i="1"/>
  <c r="J49" i="1" s="1"/>
  <c r="H49" i="1"/>
  <c r="I49" i="1" s="1"/>
  <c r="F50" i="1"/>
  <c r="G50" i="1"/>
  <c r="J50" i="1" s="1"/>
  <c r="H50" i="1"/>
  <c r="I50" i="1"/>
  <c r="K50" i="1" s="1"/>
  <c r="F51" i="1"/>
  <c r="G51" i="1"/>
  <c r="H51" i="1"/>
  <c r="I51" i="1"/>
  <c r="K51" i="1" s="1"/>
  <c r="J51" i="1"/>
  <c r="F52" i="1"/>
  <c r="G52" i="1"/>
  <c r="H52" i="1"/>
  <c r="I52" i="1"/>
  <c r="L52" i="1" s="1"/>
  <c r="J52" i="1"/>
  <c r="K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J55" i="1" s="1"/>
  <c r="G55" i="1"/>
  <c r="H55" i="1"/>
  <c r="I55" i="1" s="1"/>
  <c r="F56" i="1"/>
  <c r="G56" i="1"/>
  <c r="J56" i="1" s="1"/>
  <c r="H56" i="1"/>
  <c r="I56" i="1" s="1"/>
  <c r="F57" i="1"/>
  <c r="G57" i="1"/>
  <c r="J57" i="1" s="1"/>
  <c r="H57" i="1"/>
  <c r="I57" i="1" s="1"/>
  <c r="F58" i="1"/>
  <c r="G58" i="1"/>
  <c r="J58" i="1" s="1"/>
  <c r="H58" i="1"/>
  <c r="I58" i="1"/>
  <c r="K58" i="1" s="1"/>
  <c r="F59" i="1"/>
  <c r="G59" i="1"/>
  <c r="H59" i="1"/>
  <c r="I59" i="1"/>
  <c r="K59" i="1" s="1"/>
  <c r="J59" i="1"/>
  <c r="L97" i="1" l="1"/>
  <c r="K97" i="1"/>
  <c r="L113" i="1"/>
  <c r="K113" i="1"/>
  <c r="L85" i="1"/>
  <c r="K85" i="1"/>
  <c r="K88" i="1"/>
  <c r="L95" i="1"/>
  <c r="K95" i="1"/>
  <c r="L65" i="1"/>
  <c r="K65" i="1"/>
  <c r="L77" i="1"/>
  <c r="K77" i="1"/>
  <c r="L93" i="1"/>
  <c r="K93" i="1"/>
  <c r="L112" i="1"/>
  <c r="L87" i="1"/>
  <c r="K87" i="1"/>
  <c r="M96" i="1"/>
  <c r="M86" i="1"/>
  <c r="K86" i="1"/>
  <c r="L86" i="1"/>
  <c r="L111" i="1"/>
  <c r="K111" i="1"/>
  <c r="L91" i="1"/>
  <c r="K91" i="1"/>
  <c r="M112" i="1"/>
  <c r="L117" i="1"/>
  <c r="K117" i="1"/>
  <c r="M90" i="1"/>
  <c r="L89" i="1"/>
  <c r="K89" i="1"/>
  <c r="M62" i="1"/>
  <c r="L62" i="1"/>
  <c r="K62" i="1"/>
  <c r="M60" i="1"/>
  <c r="K60" i="1"/>
  <c r="L60" i="1"/>
  <c r="M68" i="1"/>
  <c r="L68" i="1"/>
  <c r="K68" i="1"/>
  <c r="L71" i="1"/>
  <c r="K71" i="1"/>
  <c r="M70" i="1"/>
  <c r="K70" i="1"/>
  <c r="L70" i="1"/>
  <c r="M76" i="1"/>
  <c r="K76" i="1"/>
  <c r="L76" i="1"/>
  <c r="L63" i="1"/>
  <c r="K63" i="1"/>
  <c r="L103" i="1"/>
  <c r="K103" i="1"/>
  <c r="L105" i="1"/>
  <c r="K105" i="1"/>
  <c r="M102" i="1"/>
  <c r="M104" i="1"/>
  <c r="L107" i="1"/>
  <c r="K107" i="1"/>
  <c r="L81" i="1"/>
  <c r="K81" i="1"/>
  <c r="L69" i="1"/>
  <c r="K69" i="1"/>
  <c r="M80" i="1"/>
  <c r="K80" i="1"/>
  <c r="L80" i="1"/>
  <c r="L109" i="1"/>
  <c r="K109" i="1"/>
  <c r="M64" i="1"/>
  <c r="K64" i="1"/>
  <c r="L64" i="1"/>
  <c r="M66" i="1"/>
  <c r="K66" i="1"/>
  <c r="L66" i="1"/>
  <c r="M84" i="1"/>
  <c r="K84" i="1"/>
  <c r="L84" i="1"/>
  <c r="L101" i="1"/>
  <c r="K101" i="1"/>
  <c r="M82" i="1"/>
  <c r="K82" i="1"/>
  <c r="L82" i="1"/>
  <c r="M78" i="1"/>
  <c r="K78" i="1"/>
  <c r="L78" i="1"/>
  <c r="M116" i="1"/>
  <c r="L88" i="1"/>
  <c r="L61" i="1"/>
  <c r="K61" i="1"/>
  <c r="L115" i="1"/>
  <c r="K115" i="1"/>
  <c r="L99" i="1"/>
  <c r="K99" i="1"/>
  <c r="L73" i="1"/>
  <c r="K73" i="1"/>
  <c r="M94" i="1"/>
  <c r="L83" i="1"/>
  <c r="K83" i="1"/>
  <c r="L72" i="1"/>
  <c r="K57" i="1"/>
  <c r="L57" i="1"/>
  <c r="K42" i="1"/>
  <c r="K31" i="1"/>
  <c r="L31" i="1"/>
  <c r="L25" i="1"/>
  <c r="K25" i="1"/>
  <c r="K48" i="1"/>
  <c r="L48" i="1"/>
  <c r="K56" i="1"/>
  <c r="L56" i="1"/>
  <c r="K40" i="1"/>
  <c r="L40" i="1"/>
  <c r="L33" i="1"/>
  <c r="K33" i="1"/>
  <c r="K47" i="1"/>
  <c r="L47" i="1"/>
  <c r="L41" i="1"/>
  <c r="K41" i="1"/>
  <c r="L39" i="1"/>
  <c r="K39" i="1"/>
  <c r="K24" i="1"/>
  <c r="L24" i="1"/>
  <c r="L55" i="1"/>
  <c r="K55" i="1"/>
  <c r="K49" i="1"/>
  <c r="L49" i="1"/>
  <c r="K34" i="1"/>
  <c r="L23" i="1"/>
  <c r="K23" i="1"/>
  <c r="K32" i="1"/>
  <c r="L32" i="1"/>
  <c r="J39" i="1"/>
  <c r="L58" i="1"/>
  <c r="L50" i="1"/>
  <c r="L42" i="1"/>
  <c r="L34" i="1"/>
  <c r="L26" i="1"/>
  <c r="L59" i="1"/>
  <c r="L51" i="1"/>
  <c r="L43" i="1"/>
  <c r="L35" i="1"/>
  <c r="L27" i="1"/>
  <c r="F21" i="1" l="1"/>
  <c r="G21" i="1"/>
  <c r="H21" i="1"/>
  <c r="A8" i="1"/>
  <c r="H20" i="1"/>
  <c r="J21" i="1" l="1"/>
  <c r="I21" i="1"/>
  <c r="G20" i="1"/>
  <c r="F20" i="1"/>
  <c r="K21" i="1" l="1"/>
  <c r="L21" i="1"/>
  <c r="J20" i="1"/>
  <c r="N20" i="1" s="1"/>
  <c r="I20" i="1"/>
  <c r="K20" i="1" l="1"/>
  <c r="M20" i="1"/>
  <c r="L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Proudfoot, Maddison</author>
  </authors>
  <commentList>
    <comment ref="O1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Proudfoot, Maddison:</t>
        </r>
        <r>
          <rPr>
            <sz val="9"/>
            <color indexed="81"/>
            <rFont val="Tahoma"/>
            <family val="2"/>
          </rPr>
          <t xml:space="preserve">
Collection date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Proudfoot, Maddison</author>
  </authors>
  <commentList>
    <comment ref="O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Proudfoot, Maddison:</t>
        </r>
        <r>
          <rPr>
            <sz val="9"/>
            <color indexed="81"/>
            <rFont val="Tahoma"/>
            <family val="2"/>
          </rPr>
          <t xml:space="preserve">
Collection date</t>
        </r>
      </text>
    </comment>
  </commentList>
</comments>
</file>

<file path=xl/sharedStrings.xml><?xml version="1.0" encoding="utf-8"?>
<sst xmlns="http://schemas.openxmlformats.org/spreadsheetml/2006/main" count="60" uniqueCount="28">
  <si>
    <t>CHLOROPHYLL CALCULATION - various programs</t>
  </si>
  <si>
    <t>BLANKS</t>
  </si>
  <si>
    <t>I.D.</t>
  </si>
  <si>
    <t>VOLUME</t>
  </si>
  <si>
    <t>RANGE</t>
  </si>
  <si>
    <t>Rb</t>
  </si>
  <si>
    <t>Ra</t>
  </si>
  <si>
    <t>CAL.COEF</t>
  </si>
  <si>
    <t>CHL.</t>
  </si>
  <si>
    <t>PHAE.</t>
  </si>
  <si>
    <t>C+P</t>
  </si>
  <si>
    <t>CHL/P.</t>
  </si>
  <si>
    <t>MEAN C</t>
  </si>
  <si>
    <t>MEAN P</t>
  </si>
  <si>
    <t>Std Filtered</t>
  </si>
  <si>
    <t xml:space="preserve">   Blk Corrected</t>
  </si>
  <si>
    <t>Date</t>
  </si>
  <si>
    <t>Depth (m)</t>
  </si>
  <si>
    <t>Event</t>
  </si>
  <si>
    <t xml:space="preserve"> Comments</t>
  </si>
  <si>
    <t>Range</t>
  </si>
  <si>
    <t>Rb/Ra=</t>
  </si>
  <si>
    <t>Value</t>
  </si>
  <si>
    <t>Cal.coef/Slope</t>
  </si>
  <si>
    <r>
      <rPr>
        <i/>
        <sz val="12"/>
        <rFont val="Arial"/>
        <family val="2"/>
      </rPr>
      <t xml:space="preserve">Turner Designs Fluorometer </t>
    </r>
    <r>
      <rPr>
        <sz val="12"/>
        <rFont val="Arial"/>
        <family val="2"/>
      </rPr>
      <t xml:space="preserve">#AZMP_03 </t>
    </r>
  </si>
  <si>
    <t>CALIBRATION: March 8 2024 (MP)</t>
  </si>
  <si>
    <t>Mission: BCD2025667 (BBMP)</t>
  </si>
  <si>
    <t>Calibrating the trilogy units with this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</si>
</sst>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74">
    <xf numFmtId="0" fontId="0" fillId="0" borderId="0" xfId="0"/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0" fontId="1" fillId="0" borderId="0" xfId="0" applyFont="1"/>
    <xf numFmtId="0" fontId="0" fillId="0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1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165" fontId="1" fillId="0" borderId="1" xfId="0" applyNumberFormat="1" applyFont="1" applyFill="1" applyBorder="1" applyAlignment="1">
      <alignment horizontal="center"/>
    </xf>
    <xf numFmtId="0" fontId="1" fillId="0" borderId="1" xfId="1" applyFont="1" applyFill="1" applyBorder="1" applyAlignment="1">
      <alignment horizontal="center"/>
    </xf>
    <xf numFmtId="1" fontId="1" fillId="0" borderId="1" xfId="1" applyNumberFormat="1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0" borderId="0" xfId="0" applyNumberFormat="1" applyFont="1"/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1" xfId="1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165" fontId="1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" fontId="1" fillId="0" borderId="0" xfId="0" applyNumberFormat="1" applyFon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/>
    <xf numFmtId="0" fontId="1" fillId="0" borderId="0" xfId="0" applyFont="1" applyFill="1"/>
    <xf numFmtId="0" fontId="2" fillId="0" borderId="0" xfId="0" applyNumberFormat="1" applyFont="1" applyFill="1" applyAlignment="1">
      <alignment horizontal="center"/>
    </xf>
    <xf numFmtId="0" fontId="0" fillId="0" borderId="0" xfId="0" applyFill="1" applyBorder="1" applyAlignment="1">
      <alignment horizontal="center"/>
    </xf>
    <xf numFmtId="164" fontId="1" fillId="0" borderId="0" xfId="0" applyNumberFormat="1" applyFont="1" applyFill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1" fontId="1" fillId="0" borderId="0" xfId="1" applyNumberFormat="1" applyFont="1" applyFill="1" applyAlignment="1">
      <alignment horizontal="center"/>
    </xf>
    <xf numFmtId="0" fontId="1" fillId="0" borderId="0" xfId="1" applyNumberFormat="1" applyFont="1" applyFill="1" applyAlignment="1">
      <alignment horizontal="center"/>
    </xf>
    <xf numFmtId="165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8" xfId="0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16" fontId="0" fillId="0" borderId="0" xfId="0" applyNumberFormat="1" applyFill="1" applyAlignment="1">
      <alignment horizontal="center"/>
    </xf>
    <xf numFmtId="15" fontId="0" fillId="0" borderId="0" xfId="0" applyNumberFormat="1" applyFill="1" applyAlignment="1">
      <alignment horizontal="center"/>
    </xf>
    <xf numFmtId="0" fontId="2" fillId="0" borderId="0" xfId="0" applyFont="1" applyFill="1" applyBorder="1"/>
    <xf numFmtId="164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/>
    </xf>
    <xf numFmtId="0" fontId="5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1" fillId="0" borderId="9" xfId="0" applyFont="1" applyFill="1" applyBorder="1" applyAlignment="1">
      <alignment horizontal="left"/>
    </xf>
    <xf numFmtId="165" fontId="1" fillId="0" borderId="9" xfId="0" applyNumberFormat="1" applyFont="1" applyFill="1" applyBorder="1" applyAlignment="1">
      <alignment horizontal="left"/>
    </xf>
    <xf numFmtId="165" fontId="1" fillId="0" borderId="10" xfId="0" applyNumberFormat="1" applyFont="1" applyFill="1" applyBorder="1" applyAlignment="1">
      <alignment horizontal="left"/>
    </xf>
    <xf numFmtId="0" fontId="0" fillId="0" borderId="0" xfId="0" applyFill="1" applyAlignment="1">
      <alignment horizontal="left"/>
    </xf>
    <xf numFmtId="0" fontId="1" fillId="0" borderId="2" xfId="0" applyFon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1" fillId="0" borderId="0" xfId="0" applyFont="1" applyFill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32"/>
  <sheetViews>
    <sheetView tabSelected="1" zoomScale="75" workbookViewId="0">
      <selection activeCell="F15" sqref="F15"/>
    </sheetView>
  </sheetViews>
  <sheetFormatPr defaultRowHeight="13" x14ac:dyDescent="0.3"/>
  <cols>
    <col min="1" max="1" width="15.1796875" style="69" customWidth="1"/>
    <col min="2" max="2" width="14.54296875" style="9" customWidth="1"/>
    <col min="3" max="7" width="8.7265625" style="9"/>
    <col min="8" max="8" width="14.81640625" style="9" customWidth="1"/>
    <col min="9" max="9" width="16.6328125" style="9" customWidth="1"/>
    <col min="10" max="11" width="8.7265625" style="9"/>
    <col min="12" max="12" width="9.36328125" style="9" bestFit="1" customWidth="1"/>
    <col min="13" max="14" width="8.81640625" style="49"/>
    <col min="15" max="15" width="15.81640625" style="9" bestFit="1" customWidth="1"/>
    <col min="16" max="16" width="10.1796875" style="34" customWidth="1"/>
    <col min="17" max="17" width="10.81640625" style="35" customWidth="1"/>
    <col min="18" max="18" width="40" style="9" bestFit="1" customWidth="1"/>
    <col min="19" max="19" width="8.7265625" style="36"/>
    <col min="20" max="20" width="10.36328125" style="36" bestFit="1" customWidth="1"/>
    <col min="21" max="16384" width="8.7265625" style="36"/>
  </cols>
  <sheetData>
    <row r="1" spans="1:20" ht="15.5" x14ac:dyDescent="0.35">
      <c r="A1" s="64" t="s">
        <v>26</v>
      </c>
      <c r="L1" s="49"/>
      <c r="N1" s="9"/>
      <c r="O1" s="34"/>
      <c r="P1" s="35"/>
      <c r="Q1" s="9"/>
    </row>
    <row r="2" spans="1:20" ht="15.5" x14ac:dyDescent="0.35">
      <c r="A2" s="64" t="s">
        <v>0</v>
      </c>
    </row>
    <row r="3" spans="1:20" ht="15.5" x14ac:dyDescent="0.35">
      <c r="A3" s="65" t="s">
        <v>24</v>
      </c>
    </row>
    <row r="4" spans="1:20" ht="15.5" x14ac:dyDescent="0.35">
      <c r="A4" s="65" t="s">
        <v>25</v>
      </c>
    </row>
    <row r="5" spans="1:20" ht="16" thickBot="1" x14ac:dyDescent="0.4">
      <c r="A5" s="65"/>
    </row>
    <row r="6" spans="1:20" ht="13.5" thickBot="1" x14ac:dyDescent="0.35">
      <c r="A6" s="66" t="s">
        <v>21</v>
      </c>
      <c r="H6" s="50" t="s">
        <v>20</v>
      </c>
      <c r="I6" s="51" t="s">
        <v>23</v>
      </c>
      <c r="L6" s="49"/>
      <c r="Q6" s="38"/>
      <c r="S6" s="9"/>
      <c r="T6" s="9"/>
    </row>
    <row r="7" spans="1:20" x14ac:dyDescent="0.3">
      <c r="A7" s="67">
        <v>2.2420505175546701</v>
      </c>
      <c r="H7" s="52">
        <v>1</v>
      </c>
      <c r="I7" s="53">
        <v>56.55133295518997</v>
      </c>
      <c r="L7" s="49"/>
      <c r="Q7" s="38"/>
      <c r="S7" s="9"/>
      <c r="T7" s="9"/>
    </row>
    <row r="8" spans="1:20" x14ac:dyDescent="0.3">
      <c r="A8" s="68">
        <f>A7/(A7-1)</f>
        <v>1.8051202313161823</v>
      </c>
      <c r="H8" s="52">
        <v>2</v>
      </c>
      <c r="I8" s="53">
        <v>16.157523701482862</v>
      </c>
      <c r="L8" s="49"/>
      <c r="Q8" s="38"/>
      <c r="S8" s="9"/>
      <c r="T8" s="9"/>
    </row>
    <row r="9" spans="1:20" x14ac:dyDescent="0.3">
      <c r="A9" s="68">
        <v>1.80512023131618</v>
      </c>
      <c r="H9" s="52">
        <v>3</v>
      </c>
      <c r="I9" s="53">
        <v>4.6891615669710758</v>
      </c>
      <c r="L9" s="49"/>
      <c r="Q9" s="38"/>
      <c r="S9" s="9"/>
      <c r="T9" s="9"/>
    </row>
    <row r="10" spans="1:20" ht="13.5" thickBot="1" x14ac:dyDescent="0.35">
      <c r="H10" s="52">
        <v>4</v>
      </c>
      <c r="I10" s="53">
        <v>0.70700309925927085</v>
      </c>
      <c r="L10" s="49"/>
      <c r="Q10" s="38"/>
      <c r="S10" s="9"/>
      <c r="T10" s="9"/>
    </row>
    <row r="11" spans="1:20" x14ac:dyDescent="0.3">
      <c r="A11" s="70" t="s">
        <v>1</v>
      </c>
      <c r="B11" s="48"/>
      <c r="C11" s="48"/>
      <c r="D11" s="54"/>
      <c r="H11" s="52">
        <v>5</v>
      </c>
      <c r="I11" s="53">
        <v>0.23412067934121802</v>
      </c>
      <c r="L11" s="49"/>
      <c r="Q11" s="38"/>
      <c r="S11" s="9"/>
      <c r="T11" s="9"/>
    </row>
    <row r="12" spans="1:20" x14ac:dyDescent="0.3">
      <c r="A12" s="71" t="s">
        <v>20</v>
      </c>
      <c r="B12" s="39" t="s">
        <v>22</v>
      </c>
      <c r="C12" s="39" t="s">
        <v>20</v>
      </c>
      <c r="D12" s="55" t="s">
        <v>22</v>
      </c>
      <c r="H12" s="52">
        <v>6</v>
      </c>
      <c r="I12" s="53">
        <v>6.4908340024585107E-2</v>
      </c>
      <c r="L12" s="49"/>
      <c r="Q12" s="38"/>
      <c r="S12" s="9"/>
      <c r="T12" s="9"/>
    </row>
    <row r="13" spans="1:20" x14ac:dyDescent="0.3">
      <c r="A13" s="71">
        <v>1</v>
      </c>
      <c r="B13" s="39">
        <v>0</v>
      </c>
      <c r="C13" s="39">
        <v>5</v>
      </c>
      <c r="D13" s="55">
        <v>0</v>
      </c>
      <c r="H13" s="52">
        <v>7</v>
      </c>
      <c r="I13" s="53">
        <v>2.0824520395634091E-2</v>
      </c>
      <c r="L13" s="49"/>
      <c r="Q13" s="38"/>
      <c r="S13" s="9"/>
      <c r="T13" s="9"/>
    </row>
    <row r="14" spans="1:20" ht="13.5" thickBot="1" x14ac:dyDescent="0.35">
      <c r="A14" s="71">
        <v>2</v>
      </c>
      <c r="B14" s="39">
        <v>0</v>
      </c>
      <c r="C14" s="39">
        <v>6</v>
      </c>
      <c r="D14" s="55">
        <v>0</v>
      </c>
      <c r="H14" s="56">
        <v>8</v>
      </c>
      <c r="I14" s="57">
        <v>6.7400264700321387E-3</v>
      </c>
      <c r="M14" s="40"/>
      <c r="N14" s="40"/>
      <c r="Q14" s="38"/>
      <c r="S14" s="9"/>
      <c r="T14" s="9"/>
    </row>
    <row r="15" spans="1:20" x14ac:dyDescent="0.3">
      <c r="A15" s="71">
        <v>3</v>
      </c>
      <c r="B15" s="39">
        <v>0</v>
      </c>
      <c r="C15" s="39">
        <v>7</v>
      </c>
      <c r="D15" s="55">
        <v>0</v>
      </c>
      <c r="M15" s="40"/>
      <c r="N15" s="40"/>
      <c r="Q15" s="38"/>
      <c r="S15" s="9"/>
      <c r="T15" s="9"/>
    </row>
    <row r="16" spans="1:20" ht="13.5" thickBot="1" x14ac:dyDescent="0.35">
      <c r="A16" s="72">
        <v>4</v>
      </c>
      <c r="B16" s="41">
        <v>0</v>
      </c>
      <c r="C16" s="41">
        <v>8</v>
      </c>
      <c r="D16" s="58">
        <v>0</v>
      </c>
      <c r="M16" s="40"/>
      <c r="N16" s="40"/>
      <c r="Q16" s="38"/>
      <c r="S16" s="9"/>
      <c r="T16" s="9"/>
    </row>
    <row r="17" spans="1:22" x14ac:dyDescent="0.3">
      <c r="F17" s="42"/>
      <c r="M17" s="40"/>
      <c r="N17" s="40"/>
      <c r="Q17" s="38"/>
      <c r="S17" s="9"/>
      <c r="T17" s="9"/>
    </row>
    <row r="18" spans="1:22" x14ac:dyDescent="0.3">
      <c r="B18" s="49" t="s">
        <v>14</v>
      </c>
      <c r="F18" s="49" t="s">
        <v>15</v>
      </c>
      <c r="M18" s="40"/>
      <c r="N18" s="40"/>
      <c r="Q18" s="38"/>
      <c r="S18" s="40"/>
      <c r="T18" s="43"/>
    </row>
    <row r="19" spans="1:22" s="37" customFormat="1" x14ac:dyDescent="0.3">
      <c r="A19" s="73" t="s">
        <v>2</v>
      </c>
      <c r="B19" s="6" t="s">
        <v>3</v>
      </c>
      <c r="C19" s="6" t="s">
        <v>4</v>
      </c>
      <c r="D19" s="6" t="s">
        <v>5</v>
      </c>
      <c r="E19" s="6" t="s">
        <v>6</v>
      </c>
      <c r="F19" s="6" t="s">
        <v>5</v>
      </c>
      <c r="G19" s="6" t="s">
        <v>6</v>
      </c>
      <c r="H19" s="6" t="s">
        <v>7</v>
      </c>
      <c r="I19" s="6" t="s">
        <v>8</v>
      </c>
      <c r="J19" s="6" t="s">
        <v>9</v>
      </c>
      <c r="K19" s="6" t="s">
        <v>10</v>
      </c>
      <c r="L19" s="6" t="s">
        <v>11</v>
      </c>
      <c r="M19" s="7" t="s">
        <v>12</v>
      </c>
      <c r="N19" s="7" t="s">
        <v>13</v>
      </c>
      <c r="O19" s="15" t="s">
        <v>16</v>
      </c>
      <c r="P19" s="44" t="s">
        <v>17</v>
      </c>
      <c r="Q19" s="45" t="s">
        <v>18</v>
      </c>
      <c r="R19" s="15" t="s">
        <v>19</v>
      </c>
      <c r="S19" s="40"/>
      <c r="T19" s="40"/>
    </row>
    <row r="20" spans="1:22" x14ac:dyDescent="0.3">
      <c r="A20" s="69">
        <v>500890</v>
      </c>
      <c r="B20" s="9">
        <v>100</v>
      </c>
      <c r="C20" s="3">
        <v>7</v>
      </c>
      <c r="D20" s="3">
        <v>3.05</v>
      </c>
      <c r="E20" s="3">
        <v>1.6</v>
      </c>
      <c r="F20" s="9">
        <f>IF($C20=5,D20-$D$13,IF($C20=6,D20-$D$14,IF($C20=7,D20-$D$15,IF($C20=8,D20-$D$16,D20))))</f>
        <v>3.05</v>
      </c>
      <c r="G20" s="9">
        <f>IF($C20=5,E20-$D$13,IF($C20=6,E20-$D$14,IF($C20=7,E20-$D$15,IF($C20=8,E20-$D$16,E20))))</f>
        <v>1.6</v>
      </c>
      <c r="H20" s="9">
        <f>IF(C20=1, $I$7, IF(C20=2,$I$8,IF(C20=3,$I$9,IF(C20=4,$I$10,IF(C20=5,$I$11,IF(C20=6,$I$12,IF(C20=7,$I$13,IF(C20=8,$I$14))))))))</f>
        <v>2.0824520395634091E-2</v>
      </c>
      <c r="I20" s="40">
        <f>H20*$A$9*(F20-G20)*1000/B20</f>
        <v>0.5450660645674249</v>
      </c>
      <c r="J20" s="9">
        <f>$A$7*($A$9*G20-($A$9-1)*F20)*H20*1000/B20</f>
        <v>0.20196796312632304</v>
      </c>
      <c r="K20" s="9">
        <f>(I20+J20)</f>
        <v>0.74703402769374794</v>
      </c>
      <c r="L20" s="46">
        <f>(I20/J20)</f>
        <v>2.698774875629693</v>
      </c>
      <c r="M20" s="40">
        <f>AVERAGE(I20:I21)</f>
        <v>0.51687299226221328</v>
      </c>
      <c r="N20" s="40">
        <f>AVERAGE(J20:J21)</f>
        <v>0.19514381538339026</v>
      </c>
      <c r="R20" s="9" t="s">
        <v>27</v>
      </c>
      <c r="T20" s="9"/>
      <c r="U20" s="40"/>
      <c r="V20" s="43"/>
    </row>
    <row r="21" spans="1:22" x14ac:dyDescent="0.3">
      <c r="B21" s="9">
        <v>100</v>
      </c>
      <c r="C21" s="3">
        <v>7</v>
      </c>
      <c r="D21" s="3">
        <v>2.75</v>
      </c>
      <c r="E21" s="3">
        <v>1.45</v>
      </c>
      <c r="F21" s="9">
        <f t="shared" ref="F21" si="0">IF($C21=5,D21-$D$13,IF($C21=6,D21-$D$14,IF($C21=7,D21-$D$15,IF($C21=8,D21-$D$16,D21))))</f>
        <v>2.75</v>
      </c>
      <c r="G21" s="9">
        <f t="shared" ref="G21" si="1">IF($C21=5,E21-$D$13,IF($C21=6,E21-$D$14,IF($C21=7,E21-$D$15,IF($C21=8,E21-$D$16,E21))))</f>
        <v>1.45</v>
      </c>
      <c r="H21" s="9">
        <f t="shared" ref="H21" si="2">IF(C21=1, $I$7, IF(C21=2,$I$8,IF(C21=3,$I$9,IF(C21=4,$I$10,IF(C21=5,$I$11,IF(C21=6,$I$12,IF(C21=7,$I$13,IF(C21=8,$I$14))))))))</f>
        <v>2.0824520395634091E-2</v>
      </c>
      <c r="I21" s="40">
        <f t="shared" ref="I21" si="3">H21*$A$9*(F21-G21)*1000/B21</f>
        <v>0.48867991995700172</v>
      </c>
      <c r="J21" s="9">
        <f t="shared" ref="J21" si="4">$A$7*($A$9*G21-($A$9-1)*F21)*H21*1000/B21</f>
        <v>0.18831966764045752</v>
      </c>
      <c r="K21" s="9">
        <f t="shared" ref="K21" si="5">(I21+J21)</f>
        <v>0.67699958759745926</v>
      </c>
      <c r="L21" s="46">
        <f t="shared" ref="L21" si="6">(I21/J21)</f>
        <v>2.5949489295509807</v>
      </c>
      <c r="M21" s="40"/>
      <c r="N21" s="40"/>
      <c r="T21" s="9"/>
      <c r="U21" s="40"/>
      <c r="V21" s="47"/>
    </row>
    <row r="22" spans="1:22" x14ac:dyDescent="0.3">
      <c r="A22" s="69">
        <v>500891</v>
      </c>
      <c r="B22" s="9">
        <v>100</v>
      </c>
      <c r="C22" s="3">
        <v>6</v>
      </c>
      <c r="D22" s="3">
        <v>6</v>
      </c>
      <c r="E22" s="3">
        <v>3.1</v>
      </c>
      <c r="F22" s="9">
        <f t="shared" ref="F22:F59" si="7">IF($C22=5,D22-$D$13,IF($C22=6,D22-$D$14,IF($C22=7,D22-$D$15,IF($C22=8,D22-$D$16,D22))))</f>
        <v>6</v>
      </c>
      <c r="G22" s="9">
        <f t="shared" ref="G22:G59" si="8">IF($C22=5,E22-$D$13,IF($C22=6,E22-$D$14,IF($C22=7,E22-$D$15,IF($C22=8,E22-$D$16,E22))))</f>
        <v>3.1</v>
      </c>
      <c r="H22" s="9">
        <f t="shared" ref="H22:H59" si="9">IF(C22=1, $I$7, IF(C22=2,$I$8,IF(C22=3,$I$9,IF(C22=4,$I$10,IF(C22=5,$I$11,IF(C22=6,$I$12,IF(C22=7,$I$13,IF(C22=8,$I$14))))))))</f>
        <v>6.4908340024585107E-2</v>
      </c>
      <c r="I22" s="40">
        <f t="shared" ref="I22:I59" si="10">H22*$A$9*(F22-G22)*1000/B22</f>
        <v>3.3978533750263211</v>
      </c>
      <c r="J22" s="9">
        <f t="shared" ref="J22:J59" si="11">$A$7*($A$9*G22-($A$9-1)*F22)*H22*1000/B22</f>
        <v>1.1135077226914851</v>
      </c>
      <c r="K22" s="9">
        <f t="shared" ref="K22:K59" si="12">(I22+J22)</f>
        <v>4.5113610977178062</v>
      </c>
      <c r="L22" s="46">
        <f t="shared" ref="L22:L59" si="13">(I22/J22)</f>
        <v>3.0514861332198859</v>
      </c>
      <c r="M22" s="40">
        <f t="shared" ref="M22" si="14">AVERAGE(I22:I23)</f>
        <v>3.5443125722257323</v>
      </c>
      <c r="N22" s="40">
        <f t="shared" ref="N22" si="15">AVERAGE(J22:J23)</f>
        <v>0.93066658115564116</v>
      </c>
    </row>
    <row r="23" spans="1:22" x14ac:dyDescent="0.3">
      <c r="B23" s="9">
        <v>100</v>
      </c>
      <c r="C23" s="3">
        <v>6</v>
      </c>
      <c r="D23" s="3">
        <v>6.2</v>
      </c>
      <c r="E23" s="3">
        <v>3.05</v>
      </c>
      <c r="F23" s="9">
        <f t="shared" si="7"/>
        <v>6.2</v>
      </c>
      <c r="G23" s="9">
        <f t="shared" si="8"/>
        <v>3.05</v>
      </c>
      <c r="H23" s="9">
        <f t="shared" si="9"/>
        <v>6.4908340024585107E-2</v>
      </c>
      <c r="I23" s="40">
        <f t="shared" si="10"/>
        <v>3.690771769425143</v>
      </c>
      <c r="J23" s="9">
        <f t="shared" si="11"/>
        <v>0.74782543961979708</v>
      </c>
      <c r="K23" s="9">
        <f t="shared" si="12"/>
        <v>4.4385972090449402</v>
      </c>
      <c r="L23" s="46">
        <f t="shared" si="13"/>
        <v>4.9353386149869056</v>
      </c>
      <c r="M23" s="40"/>
      <c r="N23" s="40"/>
    </row>
    <row r="24" spans="1:22" x14ac:dyDescent="0.3">
      <c r="A24" s="69">
        <v>500892</v>
      </c>
      <c r="B24" s="9">
        <v>100</v>
      </c>
      <c r="C24" s="3">
        <v>6</v>
      </c>
      <c r="D24" s="3">
        <v>7.4</v>
      </c>
      <c r="E24" s="3">
        <v>3.65</v>
      </c>
      <c r="F24" s="9">
        <f t="shared" si="7"/>
        <v>7.4</v>
      </c>
      <c r="G24" s="9">
        <f t="shared" si="8"/>
        <v>3.65</v>
      </c>
      <c r="H24" s="9">
        <f t="shared" si="9"/>
        <v>6.4908340024585107E-2</v>
      </c>
      <c r="I24" s="40">
        <f t="shared" si="10"/>
        <v>4.3937759159823138</v>
      </c>
      <c r="J24" s="9">
        <f t="shared" si="11"/>
        <v>0.9179879571370414</v>
      </c>
      <c r="K24" s="9">
        <f t="shared" si="12"/>
        <v>5.3117638731193555</v>
      </c>
      <c r="L24" s="46">
        <f t="shared" si="13"/>
        <v>4.7863110641291247</v>
      </c>
      <c r="M24" s="40">
        <f t="shared" ref="M24" si="16">AVERAGE(I24:I25)</f>
        <v>4.364484076542432</v>
      </c>
      <c r="N24" s="40">
        <f t="shared" ref="N24" si="17">AVERAGE(J24:J25)</f>
        <v>0.80175201923118844</v>
      </c>
    </row>
    <row r="25" spans="1:22" x14ac:dyDescent="0.3">
      <c r="B25" s="9">
        <v>100</v>
      </c>
      <c r="C25" s="3">
        <v>6</v>
      </c>
      <c r="D25" s="3">
        <v>7.15</v>
      </c>
      <c r="E25" s="3">
        <v>3.45</v>
      </c>
      <c r="F25" s="9">
        <f t="shared" si="7"/>
        <v>7.15</v>
      </c>
      <c r="G25" s="9">
        <f t="shared" si="8"/>
        <v>3.45</v>
      </c>
      <c r="H25" s="9">
        <f t="shared" si="9"/>
        <v>6.4908340024585107E-2</v>
      </c>
      <c r="I25" s="40">
        <f t="shared" si="10"/>
        <v>4.3351922371025493</v>
      </c>
      <c r="J25" s="9">
        <f t="shared" si="11"/>
        <v>0.68551608132533559</v>
      </c>
      <c r="K25" s="9">
        <f t="shared" si="12"/>
        <v>5.0207083184278849</v>
      </c>
      <c r="L25" s="46">
        <f t="shared" si="13"/>
        <v>6.323983280919026</v>
      </c>
      <c r="M25" s="40"/>
      <c r="N25" s="40"/>
    </row>
    <row r="26" spans="1:22" x14ac:dyDescent="0.3">
      <c r="A26" s="69">
        <v>500893</v>
      </c>
      <c r="B26" s="9">
        <v>100</v>
      </c>
      <c r="C26" s="3">
        <v>6</v>
      </c>
      <c r="D26" s="3">
        <v>5.45</v>
      </c>
      <c r="E26" s="3">
        <v>2.65</v>
      </c>
      <c r="F26" s="9">
        <f t="shared" si="7"/>
        <v>5.45</v>
      </c>
      <c r="G26" s="9">
        <f t="shared" si="8"/>
        <v>2.65</v>
      </c>
      <c r="H26" s="9">
        <f t="shared" si="9"/>
        <v>6.4908340024585107E-2</v>
      </c>
      <c r="I26" s="40">
        <f t="shared" si="10"/>
        <v>3.2806860172667935</v>
      </c>
      <c r="J26" s="9">
        <f t="shared" si="11"/>
        <v>0.57580008239520331</v>
      </c>
      <c r="K26" s="9">
        <f t="shared" si="12"/>
        <v>3.8564860996619967</v>
      </c>
      <c r="L26" s="46">
        <f t="shared" si="13"/>
        <v>5.6976129694526128</v>
      </c>
      <c r="M26" s="40">
        <f t="shared" ref="M26" si="18">AVERAGE(I26:I27)</f>
        <v>3.1342268200673833</v>
      </c>
      <c r="N26" s="40">
        <f t="shared" ref="N26" si="19">AVERAGE(J26:J27)</f>
        <v>0.50396761357601005</v>
      </c>
    </row>
    <row r="27" spans="1:22" x14ac:dyDescent="0.3">
      <c r="B27" s="9">
        <v>100</v>
      </c>
      <c r="C27" s="3">
        <v>6</v>
      </c>
      <c r="D27" s="3">
        <v>4.9000000000000004</v>
      </c>
      <c r="E27" s="3">
        <v>2.35</v>
      </c>
      <c r="F27" s="9">
        <f t="shared" si="7"/>
        <v>4.9000000000000004</v>
      </c>
      <c r="G27" s="9">
        <f t="shared" si="8"/>
        <v>2.35</v>
      </c>
      <c r="H27" s="9">
        <f t="shared" si="9"/>
        <v>6.4908340024585107E-2</v>
      </c>
      <c r="I27" s="40">
        <f t="shared" si="10"/>
        <v>2.987767622867973</v>
      </c>
      <c r="J27" s="9">
        <f t="shared" si="11"/>
        <v>0.43213514475681691</v>
      </c>
      <c r="K27" s="9">
        <f t="shared" si="12"/>
        <v>3.41990276762479</v>
      </c>
      <c r="L27" s="46">
        <f t="shared" si="13"/>
        <v>6.9139658255505525</v>
      </c>
      <c r="M27" s="40"/>
      <c r="N27" s="40"/>
    </row>
    <row r="28" spans="1:22" x14ac:dyDescent="0.3">
      <c r="A28" s="69">
        <v>500895</v>
      </c>
      <c r="B28" s="9">
        <v>100</v>
      </c>
      <c r="C28" s="3">
        <v>7</v>
      </c>
      <c r="D28" s="3">
        <v>6.7</v>
      </c>
      <c r="E28" s="3">
        <v>3.6</v>
      </c>
      <c r="F28" s="9">
        <f t="shared" si="7"/>
        <v>6.7</v>
      </c>
      <c r="G28" s="9">
        <f t="shared" si="8"/>
        <v>3.6</v>
      </c>
      <c r="H28" s="9">
        <f t="shared" si="9"/>
        <v>2.0824520395634091E-2</v>
      </c>
      <c r="I28" s="40">
        <f t="shared" si="10"/>
        <v>1.1653136552820811</v>
      </c>
      <c r="J28" s="9">
        <f t="shared" si="11"/>
        <v>0.51551290702885211</v>
      </c>
      <c r="K28" s="9">
        <f t="shared" si="12"/>
        <v>1.6808265623109331</v>
      </c>
      <c r="L28" s="46">
        <f t="shared" si="13"/>
        <v>2.2604936547531702</v>
      </c>
      <c r="M28" s="40">
        <f t="shared" ref="M28" si="20">AVERAGE(I28:I29)</f>
        <v>1.2404951814293121</v>
      </c>
      <c r="N28" s="40">
        <f t="shared" ref="N28" si="21">AVERAGE(J28:J29)</f>
        <v>0.53371063434333954</v>
      </c>
    </row>
    <row r="29" spans="1:22" x14ac:dyDescent="0.3">
      <c r="B29" s="9">
        <v>100</v>
      </c>
      <c r="C29" s="3">
        <v>7</v>
      </c>
      <c r="D29" s="3">
        <v>7.5</v>
      </c>
      <c r="E29" s="3">
        <v>4</v>
      </c>
      <c r="F29" s="9">
        <f t="shared" si="7"/>
        <v>7.5</v>
      </c>
      <c r="G29" s="9">
        <f t="shared" si="8"/>
        <v>4</v>
      </c>
      <c r="H29" s="9">
        <f t="shared" si="9"/>
        <v>2.0824520395634091E-2</v>
      </c>
      <c r="I29" s="40">
        <f t="shared" si="10"/>
        <v>1.315676707576543</v>
      </c>
      <c r="J29" s="9">
        <f t="shared" si="11"/>
        <v>0.55190836165782697</v>
      </c>
      <c r="K29" s="9">
        <f t="shared" si="12"/>
        <v>1.8675850692343698</v>
      </c>
      <c r="L29" s="46">
        <f t="shared" si="13"/>
        <v>2.3838680458192409</v>
      </c>
      <c r="M29" s="40"/>
      <c r="N29" s="40"/>
    </row>
    <row r="30" spans="1:22" x14ac:dyDescent="0.3">
      <c r="A30" s="69">
        <v>500896</v>
      </c>
      <c r="B30" s="9">
        <v>100</v>
      </c>
      <c r="C30" s="3">
        <v>5</v>
      </c>
      <c r="D30" s="3">
        <v>4.05</v>
      </c>
      <c r="E30" s="3">
        <v>2</v>
      </c>
      <c r="F30" s="9">
        <f t="shared" si="7"/>
        <v>4.05</v>
      </c>
      <c r="G30" s="9">
        <f t="shared" si="8"/>
        <v>2</v>
      </c>
      <c r="H30" s="9">
        <f t="shared" si="9"/>
        <v>0.23412067934121802</v>
      </c>
      <c r="I30" s="40">
        <f t="shared" si="10"/>
        <v>8.6636274843905738</v>
      </c>
      <c r="J30" s="9">
        <f t="shared" si="11"/>
        <v>1.8345803213540159</v>
      </c>
      <c r="K30" s="9">
        <f t="shared" si="12"/>
        <v>10.49820780574459</v>
      </c>
      <c r="L30" s="46">
        <f t="shared" si="13"/>
        <v>4.7224029297318335</v>
      </c>
      <c r="M30" s="40">
        <f t="shared" ref="M30" si="22">AVERAGE(I30:I31)</f>
        <v>8.4523194969664139</v>
      </c>
      <c r="N30" s="40">
        <f t="shared" ref="N30" si="23">AVERAGE(J30:J31)</f>
        <v>2.0458883087781761</v>
      </c>
    </row>
    <row r="31" spans="1:22" x14ac:dyDescent="0.3">
      <c r="B31" s="9">
        <v>100</v>
      </c>
      <c r="C31" s="3">
        <v>5</v>
      </c>
      <c r="D31" s="3">
        <v>3.95</v>
      </c>
      <c r="E31" s="3">
        <v>2</v>
      </c>
      <c r="F31" s="9">
        <f t="shared" si="7"/>
        <v>3.95</v>
      </c>
      <c r="G31" s="9">
        <f t="shared" si="8"/>
        <v>2</v>
      </c>
      <c r="H31" s="9">
        <f t="shared" si="9"/>
        <v>0.23412067934121802</v>
      </c>
      <c r="I31" s="40">
        <f t="shared" si="10"/>
        <v>8.241011509542254</v>
      </c>
      <c r="J31" s="9">
        <f t="shared" si="11"/>
        <v>2.2571962962023364</v>
      </c>
      <c r="K31" s="9">
        <f t="shared" si="12"/>
        <v>10.49820780574459</v>
      </c>
      <c r="L31" s="46">
        <f t="shared" si="13"/>
        <v>3.6509946092891892</v>
      </c>
      <c r="M31" s="40"/>
      <c r="N31" s="40"/>
    </row>
    <row r="32" spans="1:22" x14ac:dyDescent="0.3">
      <c r="A32" s="69">
        <v>500897</v>
      </c>
      <c r="B32" s="9">
        <v>100</v>
      </c>
      <c r="C32" s="3">
        <v>5</v>
      </c>
      <c r="D32" s="3">
        <v>6.1</v>
      </c>
      <c r="E32" s="3">
        <v>3</v>
      </c>
      <c r="F32" s="9">
        <f t="shared" si="7"/>
        <v>6.1</v>
      </c>
      <c r="G32" s="9">
        <f t="shared" si="8"/>
        <v>3</v>
      </c>
      <c r="H32" s="9">
        <f t="shared" si="9"/>
        <v>0.23412067934121802</v>
      </c>
      <c r="I32" s="40">
        <f t="shared" si="10"/>
        <v>13.101095220297941</v>
      </c>
      <c r="J32" s="9">
        <f t="shared" si="11"/>
        <v>2.6462164883189438</v>
      </c>
      <c r="K32" s="9">
        <f t="shared" si="12"/>
        <v>15.747311708616884</v>
      </c>
      <c r="L32" s="46">
        <f t="shared" si="13"/>
        <v>4.9508780850430893</v>
      </c>
      <c r="M32" s="40">
        <f t="shared" ref="M32" si="24">AVERAGE(I32:I33)</f>
        <v>12.889787232873779</v>
      </c>
      <c r="N32" s="40">
        <f t="shared" ref="N32" si="25">AVERAGE(J32:J33)</f>
        <v>2.4638416830276837</v>
      </c>
    </row>
    <row r="33" spans="1:14" x14ac:dyDescent="0.3">
      <c r="B33" s="9">
        <v>100</v>
      </c>
      <c r="C33" s="3">
        <v>5</v>
      </c>
      <c r="D33" s="3">
        <v>5.85</v>
      </c>
      <c r="E33" s="3">
        <v>2.85</v>
      </c>
      <c r="F33" s="9">
        <f t="shared" si="7"/>
        <v>5.85</v>
      </c>
      <c r="G33" s="9">
        <f t="shared" si="8"/>
        <v>2.85</v>
      </c>
      <c r="H33" s="9">
        <f t="shared" si="9"/>
        <v>0.23412067934121802</v>
      </c>
      <c r="I33" s="40">
        <f t="shared" si="10"/>
        <v>12.678479245449619</v>
      </c>
      <c r="J33" s="9">
        <f t="shared" si="11"/>
        <v>2.281466877736424</v>
      </c>
      <c r="K33" s="9">
        <f t="shared" si="12"/>
        <v>14.959946123186043</v>
      </c>
      <c r="L33" s="46">
        <f t="shared" si="13"/>
        <v>5.5571612146430445</v>
      </c>
      <c r="M33" s="40"/>
      <c r="N33" s="40"/>
    </row>
    <row r="34" spans="1:14" x14ac:dyDescent="0.3">
      <c r="A34" s="69">
        <v>500898</v>
      </c>
      <c r="B34" s="9">
        <v>100</v>
      </c>
      <c r="C34" s="3">
        <v>4</v>
      </c>
      <c r="D34" s="3">
        <v>3.15</v>
      </c>
      <c r="E34" s="3">
        <v>1.55</v>
      </c>
      <c r="F34" s="9">
        <f t="shared" si="7"/>
        <v>3.15</v>
      </c>
      <c r="G34" s="9">
        <f t="shared" si="8"/>
        <v>1.55</v>
      </c>
      <c r="H34" s="9">
        <f t="shared" si="9"/>
        <v>0.70700309925927085</v>
      </c>
      <c r="I34" s="40">
        <f t="shared" si="10"/>
        <v>20.419609569218416</v>
      </c>
      <c r="J34" s="9">
        <f t="shared" si="11"/>
        <v>4.1500087321901704</v>
      </c>
      <c r="K34" s="9">
        <f t="shared" si="12"/>
        <v>24.569618301408585</v>
      </c>
      <c r="L34" s="46">
        <f t="shared" si="13"/>
        <v>4.920377494830463</v>
      </c>
      <c r="M34" s="40">
        <f t="shared" ref="M34" si="26">AVERAGE(I34:I35)</f>
        <v>21.057722368256492</v>
      </c>
      <c r="N34" s="40">
        <f t="shared" ref="N34" si="27">AVERAGE(J34:J35)</f>
        <v>3.908180099303852</v>
      </c>
    </row>
    <row r="35" spans="1:14" x14ac:dyDescent="0.3">
      <c r="B35" s="9">
        <v>100</v>
      </c>
      <c r="C35" s="3">
        <v>4</v>
      </c>
      <c r="D35" s="3">
        <v>3.3</v>
      </c>
      <c r="E35" s="3">
        <v>1.6</v>
      </c>
      <c r="F35" s="9">
        <f t="shared" si="7"/>
        <v>3.3</v>
      </c>
      <c r="G35" s="9">
        <f t="shared" si="8"/>
        <v>1.6</v>
      </c>
      <c r="H35" s="9">
        <f t="shared" si="9"/>
        <v>0.70700309925927085</v>
      </c>
      <c r="I35" s="40">
        <f t="shared" si="10"/>
        <v>21.695835167294568</v>
      </c>
      <c r="J35" s="9">
        <f t="shared" si="11"/>
        <v>3.6663514664175341</v>
      </c>
      <c r="K35" s="9">
        <f t="shared" si="12"/>
        <v>25.362186633712103</v>
      </c>
      <c r="L35" s="46">
        <f t="shared" si="13"/>
        <v>5.917554649634833</v>
      </c>
      <c r="M35" s="40"/>
      <c r="N35" s="40"/>
    </row>
    <row r="36" spans="1:14" x14ac:dyDescent="0.3">
      <c r="A36" s="69">
        <v>500900</v>
      </c>
      <c r="B36" s="9">
        <v>100</v>
      </c>
      <c r="C36" s="3">
        <v>6</v>
      </c>
      <c r="D36" s="3">
        <v>2.75</v>
      </c>
      <c r="E36" s="3">
        <v>1.6</v>
      </c>
      <c r="F36" s="9">
        <f t="shared" si="7"/>
        <v>2.75</v>
      </c>
      <c r="G36" s="9">
        <f t="shared" si="8"/>
        <v>1.6</v>
      </c>
      <c r="H36" s="9">
        <f t="shared" si="9"/>
        <v>6.4908340024585107E-2</v>
      </c>
      <c r="I36" s="40">
        <f t="shared" si="10"/>
        <v>1.3474246142345754</v>
      </c>
      <c r="J36" s="9">
        <f t="shared" si="11"/>
        <v>0.98101982329719561</v>
      </c>
      <c r="K36" s="9">
        <f t="shared" si="12"/>
        <v>2.328444437531771</v>
      </c>
      <c r="L36" s="46">
        <f t="shared" si="13"/>
        <v>1.3734937686640192</v>
      </c>
      <c r="M36" s="40">
        <f t="shared" ref="M36" si="28">AVERAGE(I36:I37)</f>
        <v>1.2888409353548114</v>
      </c>
      <c r="N36" s="40">
        <f t="shared" ref="N36" si="29">AVERAGE(J36:J37)</f>
        <v>0.93045766916765782</v>
      </c>
    </row>
    <row r="37" spans="1:14" x14ac:dyDescent="0.3">
      <c r="B37" s="9">
        <v>100</v>
      </c>
      <c r="C37" s="3">
        <v>6</v>
      </c>
      <c r="D37" s="3">
        <v>2.5</v>
      </c>
      <c r="E37" s="3">
        <v>1.45</v>
      </c>
      <c r="F37" s="9">
        <f t="shared" si="7"/>
        <v>2.5</v>
      </c>
      <c r="G37" s="9">
        <f t="shared" si="8"/>
        <v>1.45</v>
      </c>
      <c r="H37" s="9">
        <f t="shared" si="9"/>
        <v>6.4908340024585107E-2</v>
      </c>
      <c r="I37" s="40">
        <f t="shared" si="10"/>
        <v>1.2302572564750474</v>
      </c>
      <c r="J37" s="9">
        <f t="shared" si="11"/>
        <v>0.87989551503812014</v>
      </c>
      <c r="K37" s="9">
        <f t="shared" si="12"/>
        <v>2.1101527715131674</v>
      </c>
      <c r="L37" s="46">
        <f t="shared" si="13"/>
        <v>1.3981856202798673</v>
      </c>
      <c r="M37" s="40"/>
      <c r="N37" s="40"/>
    </row>
    <row r="38" spans="1:14" x14ac:dyDescent="0.3">
      <c r="A38" s="69">
        <v>500901</v>
      </c>
      <c r="B38" s="9">
        <v>100</v>
      </c>
      <c r="C38" s="3">
        <v>5</v>
      </c>
      <c r="D38" s="3">
        <v>4.3499999999999996</v>
      </c>
      <c r="E38" s="3">
        <v>2.1</v>
      </c>
      <c r="F38" s="9">
        <f t="shared" si="7"/>
        <v>4.3499999999999996</v>
      </c>
      <c r="G38" s="9">
        <f t="shared" si="8"/>
        <v>2.1</v>
      </c>
      <c r="H38" s="9">
        <f t="shared" si="9"/>
        <v>0.23412067934121802</v>
      </c>
      <c r="I38" s="40">
        <f t="shared" si="10"/>
        <v>9.5088594340872135</v>
      </c>
      <c r="J38" s="9">
        <f t="shared" si="11"/>
        <v>1.5142587619446066</v>
      </c>
      <c r="K38" s="9">
        <f t="shared" si="12"/>
        <v>11.02311819603182</v>
      </c>
      <c r="L38" s="46">
        <f t="shared" si="13"/>
        <v>6.2795472432175092</v>
      </c>
      <c r="M38" s="40">
        <f t="shared" ref="M38" si="30">AVERAGE(I38:I39)</f>
        <v>9.4032054403751353</v>
      </c>
      <c r="N38" s="40">
        <f t="shared" ref="N38" si="31">AVERAGE(J38:J39)</f>
        <v>2.0135955483721082</v>
      </c>
    </row>
    <row r="39" spans="1:14" x14ac:dyDescent="0.3">
      <c r="B39" s="9">
        <v>100</v>
      </c>
      <c r="C39" s="3">
        <v>5</v>
      </c>
      <c r="D39" s="3">
        <v>4.45</v>
      </c>
      <c r="E39" s="3">
        <v>2.25</v>
      </c>
      <c r="F39" s="9">
        <f t="shared" si="7"/>
        <v>4.45</v>
      </c>
      <c r="G39" s="9">
        <f t="shared" si="8"/>
        <v>2.25</v>
      </c>
      <c r="H39" s="9">
        <f t="shared" si="9"/>
        <v>0.23412067934121802</v>
      </c>
      <c r="I39" s="40">
        <f t="shared" si="10"/>
        <v>9.2975514466630553</v>
      </c>
      <c r="J39" s="9">
        <f t="shared" si="11"/>
        <v>2.5129323347996095</v>
      </c>
      <c r="K39" s="9">
        <f t="shared" si="12"/>
        <v>11.810483781462665</v>
      </c>
      <c r="L39" s="46">
        <f t="shared" si="13"/>
        <v>3.6998813369976697</v>
      </c>
      <c r="M39" s="40"/>
      <c r="N39" s="40"/>
    </row>
    <row r="40" spans="1:14" x14ac:dyDescent="0.3">
      <c r="A40" s="69">
        <v>500902</v>
      </c>
      <c r="B40" s="9">
        <v>100</v>
      </c>
      <c r="C40" s="3">
        <v>4</v>
      </c>
      <c r="D40" s="3">
        <v>3.9</v>
      </c>
      <c r="E40" s="3">
        <v>1.9</v>
      </c>
      <c r="F40" s="9">
        <f t="shared" si="7"/>
        <v>3.9</v>
      </c>
      <c r="G40" s="9">
        <f t="shared" si="8"/>
        <v>1.9</v>
      </c>
      <c r="H40" s="9">
        <f t="shared" si="9"/>
        <v>0.70700309925927085</v>
      </c>
      <c r="I40" s="40">
        <f t="shared" si="10"/>
        <v>25.524511961523025</v>
      </c>
      <c r="J40" s="9">
        <f t="shared" si="11"/>
        <v>4.5930846660100917</v>
      </c>
      <c r="K40" s="9">
        <f t="shared" si="12"/>
        <v>30.117596627533118</v>
      </c>
      <c r="L40" s="46">
        <f t="shared" si="13"/>
        <v>5.5571612146430533</v>
      </c>
      <c r="M40" s="40">
        <f t="shared" ref="M40" si="32">AVERAGE(I40:I41)</f>
        <v>25.205455562003987</v>
      </c>
      <c r="N40" s="40">
        <f t="shared" ref="N40" si="33">AVERAGE(J40:J41)</f>
        <v>4.9121410655291289</v>
      </c>
    </row>
    <row r="41" spans="1:14" x14ac:dyDescent="0.3">
      <c r="B41" s="9">
        <v>100</v>
      </c>
      <c r="C41" s="3">
        <v>4</v>
      </c>
      <c r="D41" s="3">
        <v>3.85</v>
      </c>
      <c r="E41" s="3">
        <v>1.9</v>
      </c>
      <c r="F41" s="9">
        <f t="shared" si="7"/>
        <v>3.85</v>
      </c>
      <c r="G41" s="9">
        <f t="shared" si="8"/>
        <v>1.9</v>
      </c>
      <c r="H41" s="9">
        <f t="shared" si="9"/>
        <v>0.70700309925927085</v>
      </c>
      <c r="I41" s="40">
        <f t="shared" si="10"/>
        <v>24.886399162484949</v>
      </c>
      <c r="J41" s="9">
        <f t="shared" si="11"/>
        <v>5.2311974650481661</v>
      </c>
      <c r="K41" s="9">
        <f t="shared" si="12"/>
        <v>30.117596627533114</v>
      </c>
      <c r="L41" s="46">
        <f t="shared" si="13"/>
        <v>4.7573044850173343</v>
      </c>
      <c r="M41" s="40"/>
      <c r="N41" s="40"/>
    </row>
    <row r="42" spans="1:14" x14ac:dyDescent="0.3">
      <c r="A42" s="69">
        <v>500903</v>
      </c>
      <c r="B42" s="9">
        <v>100</v>
      </c>
      <c r="C42" s="3">
        <v>4</v>
      </c>
      <c r="D42" s="3">
        <v>2</v>
      </c>
      <c r="E42" s="3">
        <v>1</v>
      </c>
      <c r="F42" s="9">
        <f t="shared" si="7"/>
        <v>2</v>
      </c>
      <c r="G42" s="9">
        <f t="shared" si="8"/>
        <v>1</v>
      </c>
      <c r="H42" s="9">
        <f t="shared" si="9"/>
        <v>0.70700309925927085</v>
      </c>
      <c r="I42" s="40">
        <f t="shared" si="10"/>
        <v>12.762255980761513</v>
      </c>
      <c r="J42" s="9">
        <f t="shared" si="11"/>
        <v>3.0891106653085485</v>
      </c>
      <c r="K42" s="9">
        <f t="shared" si="12"/>
        <v>15.851366646070062</v>
      </c>
      <c r="L42" s="46">
        <f t="shared" si="13"/>
        <v>4.131368980750576</v>
      </c>
      <c r="M42" s="40">
        <f t="shared" ref="M42" si="34">AVERAGE(I42:I43)</f>
        <v>12.443199581242474</v>
      </c>
      <c r="N42" s="40">
        <f t="shared" ref="N42" si="35">AVERAGE(J42:J43)</f>
        <v>3.0118828986758346</v>
      </c>
    </row>
    <row r="43" spans="1:14" x14ac:dyDescent="0.3">
      <c r="B43" s="9">
        <v>100</v>
      </c>
      <c r="C43" s="3">
        <v>4</v>
      </c>
      <c r="D43" s="3">
        <v>1.9</v>
      </c>
      <c r="E43" s="3">
        <v>0.95</v>
      </c>
      <c r="F43" s="9">
        <f t="shared" si="7"/>
        <v>1.9</v>
      </c>
      <c r="G43" s="9">
        <f t="shared" si="8"/>
        <v>0.95</v>
      </c>
      <c r="H43" s="9">
        <f t="shared" si="9"/>
        <v>0.70700309925927085</v>
      </c>
      <c r="I43" s="40">
        <f t="shared" si="10"/>
        <v>12.124143181723436</v>
      </c>
      <c r="J43" s="9">
        <f t="shared" si="11"/>
        <v>2.9346551320431207</v>
      </c>
      <c r="K43" s="9">
        <f t="shared" si="12"/>
        <v>15.058798313766557</v>
      </c>
      <c r="L43" s="46">
        <f t="shared" si="13"/>
        <v>4.1313689807505769</v>
      </c>
      <c r="M43" s="40"/>
      <c r="N43" s="40"/>
    </row>
    <row r="44" spans="1:14" x14ac:dyDescent="0.3">
      <c r="A44" s="69">
        <v>500905</v>
      </c>
      <c r="B44" s="9">
        <v>100</v>
      </c>
      <c r="C44" s="3">
        <v>6</v>
      </c>
      <c r="D44" s="3">
        <v>3.25</v>
      </c>
      <c r="E44" s="3">
        <v>1.8</v>
      </c>
      <c r="F44" s="9">
        <f t="shared" si="7"/>
        <v>3.25</v>
      </c>
      <c r="G44" s="9">
        <f t="shared" si="8"/>
        <v>1.8</v>
      </c>
      <c r="H44" s="9">
        <f t="shared" si="9"/>
        <v>6.4908340024585107E-2</v>
      </c>
      <c r="I44" s="40">
        <f t="shared" si="10"/>
        <v>1.6989266875131606</v>
      </c>
      <c r="J44" s="9">
        <f t="shared" si="11"/>
        <v>0.92057330471008159</v>
      </c>
      <c r="K44" s="9">
        <f t="shared" si="12"/>
        <v>2.619499992223242</v>
      </c>
      <c r="L44" s="46">
        <f t="shared" si="13"/>
        <v>1.8455094003059405</v>
      </c>
      <c r="M44" s="40">
        <f t="shared" ref="M44" si="36">AVERAGE(I44:I45)</f>
        <v>1.7282185269530426</v>
      </c>
      <c r="N44" s="40">
        <f t="shared" ref="N44" si="37">AVERAGE(J44:J45)</f>
        <v>0.92766340960663352</v>
      </c>
    </row>
    <row r="45" spans="1:14" x14ac:dyDescent="0.3">
      <c r="B45" s="9">
        <v>100</v>
      </c>
      <c r="C45" s="3">
        <v>6</v>
      </c>
      <c r="D45" s="3">
        <v>3.35</v>
      </c>
      <c r="E45" s="3">
        <v>1.85</v>
      </c>
      <c r="F45" s="9">
        <f t="shared" si="7"/>
        <v>3.35</v>
      </c>
      <c r="G45" s="9">
        <f t="shared" si="8"/>
        <v>1.85</v>
      </c>
      <c r="H45" s="9">
        <f t="shared" si="9"/>
        <v>6.4908340024585107E-2</v>
      </c>
      <c r="I45" s="40">
        <f t="shared" si="10"/>
        <v>1.7575103663929246</v>
      </c>
      <c r="J45" s="9">
        <f t="shared" si="11"/>
        <v>0.93475351450318545</v>
      </c>
      <c r="K45" s="9">
        <f t="shared" si="12"/>
        <v>2.6922638808961099</v>
      </c>
      <c r="L45" s="46">
        <f t="shared" si="13"/>
        <v>1.8801858876422928</v>
      </c>
      <c r="M45" s="40"/>
      <c r="N45" s="40"/>
    </row>
    <row r="46" spans="1:14" x14ac:dyDescent="0.3">
      <c r="A46" s="69">
        <v>500906</v>
      </c>
      <c r="B46" s="9">
        <v>100</v>
      </c>
      <c r="C46" s="3">
        <v>8</v>
      </c>
      <c r="D46" s="3">
        <v>2.75</v>
      </c>
      <c r="E46" s="3">
        <v>1.4</v>
      </c>
      <c r="F46" s="9">
        <f t="shared" si="7"/>
        <v>2.75</v>
      </c>
      <c r="G46" s="9">
        <f t="shared" si="8"/>
        <v>1.4</v>
      </c>
      <c r="H46" s="9">
        <f t="shared" si="9"/>
        <v>6.7400264700321387E-3</v>
      </c>
      <c r="I46" s="40">
        <f t="shared" si="10"/>
        <v>0.16424853489893149</v>
      </c>
      <c r="J46" s="9">
        <f t="shared" si="11"/>
        <v>4.7312182797617043E-2</v>
      </c>
      <c r="K46" s="9">
        <f t="shared" si="12"/>
        <v>0.21156071769654852</v>
      </c>
      <c r="L46" s="46">
        <f t="shared" si="13"/>
        <v>3.4715907232926089</v>
      </c>
      <c r="M46" s="40">
        <f t="shared" ref="M46" si="38">AVERAGE(I46:I47)</f>
        <v>0.16424853489893149</v>
      </c>
      <c r="N46" s="40">
        <f t="shared" ref="N46" si="39">AVERAGE(J46:J47)</f>
        <v>5.4867922715350924E-2</v>
      </c>
    </row>
    <row r="47" spans="1:14" x14ac:dyDescent="0.3">
      <c r="B47" s="9">
        <v>100</v>
      </c>
      <c r="C47" s="3">
        <v>8</v>
      </c>
      <c r="D47" s="3">
        <v>2.85</v>
      </c>
      <c r="E47" s="3">
        <v>1.5</v>
      </c>
      <c r="F47" s="9">
        <f t="shared" si="7"/>
        <v>2.85</v>
      </c>
      <c r="G47" s="9">
        <f t="shared" si="8"/>
        <v>1.5</v>
      </c>
      <c r="H47" s="9">
        <f t="shared" si="9"/>
        <v>6.7400264700321387E-3</v>
      </c>
      <c r="I47" s="40">
        <f t="shared" si="10"/>
        <v>0.16424853489893149</v>
      </c>
      <c r="J47" s="9">
        <f t="shared" si="11"/>
        <v>6.2423662633084805E-2</v>
      </c>
      <c r="K47" s="9">
        <f t="shared" si="12"/>
        <v>0.22667219753201628</v>
      </c>
      <c r="L47" s="46">
        <f t="shared" si="13"/>
        <v>2.6311902885986549</v>
      </c>
      <c r="M47" s="40"/>
      <c r="N47" s="40"/>
    </row>
    <row r="48" spans="1:14" x14ac:dyDescent="0.3">
      <c r="A48" s="69">
        <v>500907</v>
      </c>
      <c r="B48" s="9">
        <v>100</v>
      </c>
      <c r="C48" s="3">
        <v>5</v>
      </c>
      <c r="D48" s="3">
        <v>4.3</v>
      </c>
      <c r="E48" s="3">
        <v>2.15</v>
      </c>
      <c r="F48" s="9">
        <f t="shared" si="7"/>
        <v>4.3</v>
      </c>
      <c r="G48" s="9">
        <f t="shared" si="8"/>
        <v>2.15</v>
      </c>
      <c r="H48" s="9">
        <f t="shared" si="9"/>
        <v>0.23412067934121802</v>
      </c>
      <c r="I48" s="40">
        <f t="shared" si="10"/>
        <v>9.0862434592388936</v>
      </c>
      <c r="J48" s="9">
        <f t="shared" si="11"/>
        <v>2.1993299319365405</v>
      </c>
      <c r="K48" s="9">
        <f t="shared" si="12"/>
        <v>11.285573391175435</v>
      </c>
      <c r="L48" s="46">
        <f t="shared" si="13"/>
        <v>4.1313689807505733</v>
      </c>
      <c r="M48" s="40">
        <f t="shared" ref="M48" si="40">AVERAGE(I48:I49)</f>
        <v>9.1918974529509754</v>
      </c>
      <c r="N48" s="40">
        <f t="shared" ref="N48" si="41">AVERAGE(J48:J49)</f>
        <v>2.3561311333680752</v>
      </c>
    </row>
    <row r="49" spans="1:22" x14ac:dyDescent="0.3">
      <c r="B49" s="9">
        <v>100</v>
      </c>
      <c r="C49" s="3">
        <v>5</v>
      </c>
      <c r="D49" s="3">
        <v>4.45</v>
      </c>
      <c r="E49" s="3">
        <v>2.25</v>
      </c>
      <c r="F49" s="9">
        <f t="shared" si="7"/>
        <v>4.45</v>
      </c>
      <c r="G49" s="9">
        <f t="shared" si="8"/>
        <v>2.25</v>
      </c>
      <c r="H49" s="9">
        <f t="shared" si="9"/>
        <v>0.23412067934121802</v>
      </c>
      <c r="I49" s="40">
        <f t="shared" si="10"/>
        <v>9.2975514466630553</v>
      </c>
      <c r="J49" s="9">
        <f t="shared" si="11"/>
        <v>2.5129323347996095</v>
      </c>
      <c r="K49" s="9">
        <f t="shared" si="12"/>
        <v>11.810483781462665</v>
      </c>
      <c r="L49" s="46">
        <f t="shared" si="13"/>
        <v>3.6998813369976697</v>
      </c>
      <c r="M49" s="40"/>
      <c r="N49" s="40"/>
    </row>
    <row r="50" spans="1:22" x14ac:dyDescent="0.3">
      <c r="A50" s="69">
        <v>500908</v>
      </c>
      <c r="B50" s="9">
        <v>100</v>
      </c>
      <c r="C50" s="3">
        <v>5</v>
      </c>
      <c r="D50" s="3">
        <v>4.05</v>
      </c>
      <c r="E50" s="3">
        <v>2.1</v>
      </c>
      <c r="F50" s="9">
        <f t="shared" si="7"/>
        <v>4.05</v>
      </c>
      <c r="G50" s="9">
        <f t="shared" si="8"/>
        <v>2.1</v>
      </c>
      <c r="H50" s="9">
        <f t="shared" si="9"/>
        <v>0.23412067934121802</v>
      </c>
      <c r="I50" s="40">
        <f t="shared" si="10"/>
        <v>8.2410115095422523</v>
      </c>
      <c r="J50" s="9">
        <f t="shared" si="11"/>
        <v>2.7821066864895654</v>
      </c>
      <c r="K50" s="9">
        <f t="shared" si="12"/>
        <v>11.023118196031817</v>
      </c>
      <c r="L50" s="46">
        <f t="shared" si="13"/>
        <v>2.9621479109921118</v>
      </c>
      <c r="M50" s="40">
        <f t="shared" ref="M50" si="42">AVERAGE(I50:I51)</f>
        <v>8.241011509542254</v>
      </c>
      <c r="N50" s="40">
        <f t="shared" ref="N50" si="43">AVERAGE(J50:J51)</f>
        <v>2.5196514913459511</v>
      </c>
    </row>
    <row r="51" spans="1:22" x14ac:dyDescent="0.3">
      <c r="B51" s="9">
        <v>100</v>
      </c>
      <c r="C51" s="3">
        <v>5</v>
      </c>
      <c r="D51" s="3">
        <v>3.95</v>
      </c>
      <c r="E51" s="3">
        <v>2</v>
      </c>
      <c r="F51" s="9">
        <f t="shared" si="7"/>
        <v>3.95</v>
      </c>
      <c r="G51" s="9">
        <f t="shared" si="8"/>
        <v>2</v>
      </c>
      <c r="H51" s="9">
        <f t="shared" si="9"/>
        <v>0.23412067934121802</v>
      </c>
      <c r="I51" s="40">
        <f t="shared" si="10"/>
        <v>8.241011509542254</v>
      </c>
      <c r="J51" s="9">
        <f t="shared" si="11"/>
        <v>2.2571962962023364</v>
      </c>
      <c r="K51" s="9">
        <f t="shared" si="12"/>
        <v>10.49820780574459</v>
      </c>
      <c r="L51" s="46">
        <f t="shared" si="13"/>
        <v>3.6509946092891892</v>
      </c>
      <c r="M51" s="40"/>
      <c r="N51" s="40"/>
    </row>
    <row r="52" spans="1:22" x14ac:dyDescent="0.3">
      <c r="A52" s="69">
        <v>500910</v>
      </c>
      <c r="B52" s="9">
        <v>100</v>
      </c>
      <c r="C52" s="3">
        <v>6</v>
      </c>
      <c r="D52" s="3">
        <v>3.45</v>
      </c>
      <c r="E52" s="3">
        <v>2.1</v>
      </c>
      <c r="F52" s="9">
        <f t="shared" si="7"/>
        <v>3.45</v>
      </c>
      <c r="G52" s="9">
        <f t="shared" si="8"/>
        <v>2.1</v>
      </c>
      <c r="H52" s="9">
        <f t="shared" si="9"/>
        <v>6.4908340024585107E-2</v>
      </c>
      <c r="I52" s="40">
        <f t="shared" si="10"/>
        <v>1.5817593297536325</v>
      </c>
      <c r="J52" s="9">
        <f t="shared" si="11"/>
        <v>1.4743239945068169</v>
      </c>
      <c r="K52" s="9">
        <f t="shared" si="12"/>
        <v>3.0560833242604497</v>
      </c>
      <c r="L52" s="46">
        <f t="shared" si="13"/>
        <v>1.0728709128028227</v>
      </c>
      <c r="M52" s="40">
        <f t="shared" ref="M52" si="44">AVERAGE(I52:I53)</f>
        <v>1.6110511691935145</v>
      </c>
      <c r="N52" s="40">
        <f t="shared" ref="N52" si="45">AVERAGE(J52:J53)</f>
        <v>1.4450321550669349</v>
      </c>
    </row>
    <row r="53" spans="1:22" x14ac:dyDescent="0.3">
      <c r="B53" s="9">
        <v>100</v>
      </c>
      <c r="C53" s="3">
        <v>6</v>
      </c>
      <c r="D53" s="3">
        <v>3.5</v>
      </c>
      <c r="E53" s="3">
        <v>2.1</v>
      </c>
      <c r="F53" s="9">
        <f t="shared" si="7"/>
        <v>3.5</v>
      </c>
      <c r="G53" s="9">
        <f t="shared" si="8"/>
        <v>2.1</v>
      </c>
      <c r="H53" s="9">
        <f t="shared" si="9"/>
        <v>6.4908340024585107E-2</v>
      </c>
      <c r="I53" s="40">
        <f t="shared" si="10"/>
        <v>1.6403430086333963</v>
      </c>
      <c r="J53" s="9">
        <f t="shared" si="11"/>
        <v>1.4157403156270529</v>
      </c>
      <c r="K53" s="9">
        <f t="shared" si="12"/>
        <v>3.0560833242604493</v>
      </c>
      <c r="L53" s="46">
        <f t="shared" si="13"/>
        <v>1.1586468157522685</v>
      </c>
      <c r="M53" s="40"/>
      <c r="N53" s="40"/>
    </row>
    <row r="54" spans="1:22" x14ac:dyDescent="0.3">
      <c r="A54" s="69">
        <v>500911</v>
      </c>
      <c r="B54" s="9">
        <v>100</v>
      </c>
      <c r="C54" s="3">
        <v>5</v>
      </c>
      <c r="D54" s="3">
        <v>5.2</v>
      </c>
      <c r="E54" s="3">
        <v>2.7</v>
      </c>
      <c r="F54" s="9">
        <f t="shared" si="7"/>
        <v>5.2</v>
      </c>
      <c r="G54" s="9">
        <f t="shared" si="8"/>
        <v>2.7</v>
      </c>
      <c r="H54" s="9">
        <f t="shared" si="9"/>
        <v>0.23412067934121802</v>
      </c>
      <c r="I54" s="40">
        <f t="shared" si="10"/>
        <v>10.565399371208018</v>
      </c>
      <c r="J54" s="9">
        <f t="shared" si="11"/>
        <v>3.6071811665471762</v>
      </c>
      <c r="K54" s="9">
        <f t="shared" si="12"/>
        <v>14.172580537755195</v>
      </c>
      <c r="L54" s="46">
        <f t="shared" si="13"/>
        <v>2.9289905007242281</v>
      </c>
      <c r="M54" s="40">
        <f t="shared" ref="M54" si="46">AVERAGE(I54:I55)</f>
        <v>10.459745377495938</v>
      </c>
      <c r="N54" s="40">
        <f t="shared" ref="N54" si="47">AVERAGE(J54:J55)</f>
        <v>3.4503799651156433</v>
      </c>
    </row>
    <row r="55" spans="1:22" x14ac:dyDescent="0.3">
      <c r="B55" s="9">
        <v>100</v>
      </c>
      <c r="C55" s="3">
        <v>5</v>
      </c>
      <c r="D55" s="3">
        <v>5.05</v>
      </c>
      <c r="E55" s="3">
        <v>2.6</v>
      </c>
      <c r="F55" s="9">
        <f t="shared" si="7"/>
        <v>5.05</v>
      </c>
      <c r="G55" s="9">
        <f t="shared" si="8"/>
        <v>2.6</v>
      </c>
      <c r="H55" s="9">
        <f t="shared" si="9"/>
        <v>0.23412067934121802</v>
      </c>
      <c r="I55" s="40">
        <f t="shared" si="10"/>
        <v>10.354091383783857</v>
      </c>
      <c r="J55" s="9">
        <f t="shared" si="11"/>
        <v>3.2935787636841098</v>
      </c>
      <c r="K55" s="9">
        <f t="shared" si="12"/>
        <v>13.647670147467966</v>
      </c>
      <c r="L55" s="46">
        <f t="shared" si="13"/>
        <v>3.1437205929157876</v>
      </c>
      <c r="M55" s="40"/>
      <c r="N55" s="40"/>
    </row>
    <row r="56" spans="1:22" x14ac:dyDescent="0.3">
      <c r="A56" s="69">
        <v>500912</v>
      </c>
      <c r="B56" s="9">
        <v>100</v>
      </c>
      <c r="C56" s="3">
        <v>5</v>
      </c>
      <c r="D56" s="3">
        <v>3.3</v>
      </c>
      <c r="E56" s="3">
        <v>1.8</v>
      </c>
      <c r="F56" s="9">
        <f t="shared" si="7"/>
        <v>3.3</v>
      </c>
      <c r="G56" s="9">
        <f t="shared" si="8"/>
        <v>1.8</v>
      </c>
      <c r="H56" s="9">
        <f t="shared" si="9"/>
        <v>0.23412067934121802</v>
      </c>
      <c r="I56" s="40">
        <f t="shared" si="10"/>
        <v>6.3392396227248096</v>
      </c>
      <c r="J56" s="9">
        <f t="shared" si="11"/>
        <v>3.1091474024453203</v>
      </c>
      <c r="K56" s="9">
        <f t="shared" si="12"/>
        <v>9.4483870251701294</v>
      </c>
      <c r="L56" s="46">
        <f t="shared" si="13"/>
        <v>2.0388996731834093</v>
      </c>
      <c r="M56" s="40">
        <f t="shared" ref="M56" si="48">AVERAGE(I56:I57)</f>
        <v>6.4448936164368913</v>
      </c>
      <c r="N56" s="40">
        <f t="shared" ref="N56" si="49">AVERAGE(J56:J57)</f>
        <v>3.2659486038768533</v>
      </c>
    </row>
    <row r="57" spans="1:22" x14ac:dyDescent="0.3">
      <c r="B57" s="9">
        <v>100</v>
      </c>
      <c r="C57" s="3">
        <v>5</v>
      </c>
      <c r="D57" s="3">
        <v>3.45</v>
      </c>
      <c r="E57" s="3">
        <v>1.9</v>
      </c>
      <c r="F57" s="9">
        <f t="shared" si="7"/>
        <v>3.45</v>
      </c>
      <c r="G57" s="9">
        <f t="shared" si="8"/>
        <v>1.9</v>
      </c>
      <c r="H57" s="9">
        <f t="shared" si="9"/>
        <v>0.23412067934121802</v>
      </c>
      <c r="I57" s="40">
        <f t="shared" si="10"/>
        <v>6.550547610148973</v>
      </c>
      <c r="J57" s="9">
        <f t="shared" si="11"/>
        <v>3.4227498053083867</v>
      </c>
      <c r="K57" s="9">
        <f t="shared" si="12"/>
        <v>9.9732974154573597</v>
      </c>
      <c r="L57" s="46">
        <f t="shared" si="13"/>
        <v>1.913826012053129</v>
      </c>
      <c r="M57" s="40"/>
      <c r="N57" s="40"/>
    </row>
    <row r="58" spans="1:22" x14ac:dyDescent="0.3">
      <c r="A58" s="69">
        <v>500913</v>
      </c>
      <c r="B58" s="9">
        <v>100</v>
      </c>
      <c r="C58" s="3">
        <v>5</v>
      </c>
      <c r="D58" s="3">
        <v>5.95</v>
      </c>
      <c r="E58" s="3">
        <v>2.9</v>
      </c>
      <c r="F58" s="9">
        <f t="shared" si="7"/>
        <v>5.95</v>
      </c>
      <c r="G58" s="9">
        <f t="shared" si="8"/>
        <v>2.9</v>
      </c>
      <c r="H58" s="9">
        <f t="shared" si="9"/>
        <v>0.23412067934121802</v>
      </c>
      <c r="I58" s="40">
        <f t="shared" si="10"/>
        <v>12.889787232873783</v>
      </c>
      <c r="J58" s="9">
        <f t="shared" si="11"/>
        <v>2.3326140854558775</v>
      </c>
      <c r="K58" s="9">
        <f t="shared" si="12"/>
        <v>15.222401318329659</v>
      </c>
      <c r="L58" s="46">
        <f t="shared" si="13"/>
        <v>5.5258978813697128</v>
      </c>
      <c r="M58" s="40">
        <f t="shared" ref="M58" si="50">AVERAGE(I58:I59)</f>
        <v>12.678479245449623</v>
      </c>
      <c r="N58" s="40">
        <f t="shared" ref="N58" si="51">AVERAGE(J58:J59)</f>
        <v>2.2814668777364218</v>
      </c>
    </row>
    <row r="59" spans="1:22" x14ac:dyDescent="0.3">
      <c r="B59" s="9">
        <v>100</v>
      </c>
      <c r="C59" s="3">
        <v>5</v>
      </c>
      <c r="D59" s="3">
        <v>5.75</v>
      </c>
      <c r="E59" s="3">
        <v>2.8</v>
      </c>
      <c r="F59" s="9">
        <f t="shared" si="7"/>
        <v>5.75</v>
      </c>
      <c r="G59" s="9">
        <f t="shared" si="8"/>
        <v>2.8</v>
      </c>
      <c r="H59" s="9">
        <f t="shared" si="9"/>
        <v>0.23412067934121802</v>
      </c>
      <c r="I59" s="40">
        <f t="shared" si="10"/>
        <v>12.467171258025463</v>
      </c>
      <c r="J59" s="9">
        <f t="shared" si="11"/>
        <v>2.2303196700169661</v>
      </c>
      <c r="K59" s="9">
        <f t="shared" si="12"/>
        <v>14.697490928042429</v>
      </c>
      <c r="L59" s="46">
        <f t="shared" si="13"/>
        <v>5.5898584519638055</v>
      </c>
      <c r="M59" s="40"/>
      <c r="N59" s="40"/>
    </row>
    <row r="60" spans="1:22" customFormat="1" x14ac:dyDescent="0.3">
      <c r="A60" s="1">
        <v>500915</v>
      </c>
      <c r="B60" s="3">
        <v>100</v>
      </c>
      <c r="C60" s="3">
        <v>7</v>
      </c>
      <c r="D60" s="3">
        <v>3.3</v>
      </c>
      <c r="E60" s="3">
        <v>2.25</v>
      </c>
      <c r="F60" s="3">
        <f>IF($C60=5,D60-$D$13,IF($C60=6,D60-$D$14,IF($C60=7,D60-$D$15,IF($C60=8,D60-$D$16,D60))))</f>
        <v>3.3</v>
      </c>
      <c r="G60" s="3">
        <f>IF($C60=5,E60-$D$13,IF($C60=6,E60-$D$14,IF($C60=7,E60-$D$15,IF($C60=8,E60-$D$16,E60))))</f>
        <v>2.25</v>
      </c>
      <c r="H60" s="3">
        <f>IF(C60=1, $I$7, IF(C60=2,$I$8,IF(C60=3,$I$9,IF(C60=4,$I$10,IF(C60=5,$I$11,IF(C60=6,$I$12,IF(C60=7,$I$13,IF(C60=8,$I$14))))))))</f>
        <v>2.0824520395634091E-2</v>
      </c>
      <c r="I60" s="2">
        <f>H60*$A$9*(F60-G60)*1000/B60</f>
        <v>0.39470301227296284</v>
      </c>
      <c r="J60" s="3">
        <f>$A$7*($A$9*G60-($A$9-1)*F60)*H60*1000/B60</f>
        <v>0.65581358917136967</v>
      </c>
      <c r="K60" s="3">
        <f>(I60+J60)</f>
        <v>1.0505166014443326</v>
      </c>
      <c r="L60" s="10">
        <f>(I60/J60)</f>
        <v>0.60185244525304216</v>
      </c>
      <c r="M60" s="2">
        <f>AVERAGE(I60:I61)</f>
        <v>0.37590763073615513</v>
      </c>
      <c r="N60" s="2">
        <f>AVERAGE(J60:J61)</f>
        <v>0.68628137739089212</v>
      </c>
      <c r="O60" s="3"/>
      <c r="P60" s="16"/>
      <c r="Q60" s="3"/>
      <c r="R60" s="3" t="s">
        <v>27</v>
      </c>
      <c r="T60" s="3"/>
      <c r="U60" s="2"/>
      <c r="V60" s="4"/>
    </row>
    <row r="61" spans="1:22" customFormat="1" x14ac:dyDescent="0.3">
      <c r="A61" s="1"/>
      <c r="B61" s="3">
        <v>100</v>
      </c>
      <c r="C61" s="3">
        <v>7</v>
      </c>
      <c r="D61" s="3">
        <v>3.25</v>
      </c>
      <c r="E61" s="3">
        <v>2.2999999999999998</v>
      </c>
      <c r="F61" s="3">
        <f t="shared" ref="F61:G123" si="52">IF($C61=5,D61-$D$13,IF($C61=6,D61-$D$14,IF($C61=7,D61-$D$15,IF($C61=8,D61-$D$16,D61))))</f>
        <v>3.25</v>
      </c>
      <c r="G61" s="3">
        <f t="shared" si="52"/>
        <v>2.2999999999999998</v>
      </c>
      <c r="H61" s="3">
        <f t="shared" ref="H61:H123" si="53">IF(C61=1, $I$7, IF(C61=2,$I$8,IF(C61=3,$I$9,IF(C61=4,$I$10,IF(C61=5,$I$11,IF(C61=6,$I$12,IF(C61=7,$I$13,IF(C61=8,$I$14))))))))</f>
        <v>2.0824520395634091E-2</v>
      </c>
      <c r="I61" s="2">
        <f t="shared" ref="I61:I123" si="54">H61*$A$9*(F61-G61)*1000/B61</f>
        <v>0.35711224919934742</v>
      </c>
      <c r="J61" s="3">
        <f t="shared" ref="J61:J123" si="55">$A$7*($A$9*G61-($A$9-1)*F61)*H61*1000/B61</f>
        <v>0.71674916561041457</v>
      </c>
      <c r="K61" s="3">
        <f t="shared" ref="K61:K123" si="56">(I61+J61)</f>
        <v>1.073861414809762</v>
      </c>
      <c r="L61" s="10">
        <f t="shared" ref="L61:L123" si="57">(I61/J61)</f>
        <v>0.49823880701028117</v>
      </c>
      <c r="M61" s="2"/>
      <c r="N61" s="2"/>
      <c r="O61" s="3"/>
      <c r="P61" s="16"/>
      <c r="Q61" s="3"/>
      <c r="R61" s="3"/>
      <c r="T61" s="3"/>
      <c r="U61" s="2"/>
      <c r="V61" s="62"/>
    </row>
    <row r="62" spans="1:22" customFormat="1" x14ac:dyDescent="0.3">
      <c r="A62" s="1">
        <v>500916</v>
      </c>
      <c r="B62" s="3">
        <v>100</v>
      </c>
      <c r="C62" s="3">
        <v>6</v>
      </c>
      <c r="D62" s="3">
        <v>6.9</v>
      </c>
      <c r="E62" s="3">
        <v>3.7</v>
      </c>
      <c r="F62" s="3">
        <f t="shared" si="52"/>
        <v>6.9</v>
      </c>
      <c r="G62" s="3">
        <f t="shared" si="52"/>
        <v>3.7</v>
      </c>
      <c r="H62" s="3">
        <f t="shared" si="53"/>
        <v>6.4908340024585107E-2</v>
      </c>
      <c r="I62" s="2">
        <f t="shared" si="54"/>
        <v>3.749355448304907</v>
      </c>
      <c r="J62" s="3">
        <f t="shared" si="55"/>
        <v>1.6351723134873146</v>
      </c>
      <c r="K62" s="3">
        <f t="shared" si="56"/>
        <v>5.3845277617922216</v>
      </c>
      <c r="L62" s="10">
        <f t="shared" si="57"/>
        <v>2.2929421060883159</v>
      </c>
      <c r="M62" s="2">
        <f t="shared" ref="M62:N62" si="58">AVERAGE(I62:I63)</f>
        <v>3.7786472877447883</v>
      </c>
      <c r="N62" s="2">
        <f t="shared" si="58"/>
        <v>1.7150263070567342</v>
      </c>
      <c r="O62" s="3"/>
      <c r="P62" s="16"/>
      <c r="Q62" s="3"/>
      <c r="R62" s="3"/>
    </row>
    <row r="63" spans="1:22" customFormat="1" x14ac:dyDescent="0.3">
      <c r="A63" s="1"/>
      <c r="B63" s="3">
        <v>100</v>
      </c>
      <c r="C63" s="3">
        <v>6</v>
      </c>
      <c r="D63" s="3">
        <v>7.1</v>
      </c>
      <c r="E63" s="3">
        <v>3.85</v>
      </c>
      <c r="F63" s="3">
        <f t="shared" si="52"/>
        <v>7.1</v>
      </c>
      <c r="G63" s="3">
        <f t="shared" si="52"/>
        <v>3.85</v>
      </c>
      <c r="H63" s="3">
        <f t="shared" si="53"/>
        <v>6.4908340024585107E-2</v>
      </c>
      <c r="I63" s="2">
        <f t="shared" si="54"/>
        <v>3.8079391271846701</v>
      </c>
      <c r="J63" s="3">
        <f t="shared" si="55"/>
        <v>1.794880300626154</v>
      </c>
      <c r="K63" s="3">
        <f t="shared" si="56"/>
        <v>5.6028194278108243</v>
      </c>
      <c r="L63" s="10">
        <f t="shared" si="57"/>
        <v>2.1215560312608308</v>
      </c>
      <c r="M63" s="2"/>
      <c r="N63" s="2"/>
      <c r="O63" s="3"/>
      <c r="P63" s="16"/>
      <c r="Q63" s="3"/>
      <c r="R63" s="3"/>
    </row>
    <row r="64" spans="1:22" customFormat="1" x14ac:dyDescent="0.3">
      <c r="A64" s="1">
        <v>500917</v>
      </c>
      <c r="B64" s="3">
        <v>100</v>
      </c>
      <c r="C64" s="3">
        <v>5</v>
      </c>
      <c r="D64" s="3">
        <v>5.7</v>
      </c>
      <c r="E64" s="3">
        <v>2.85</v>
      </c>
      <c r="F64" s="3">
        <f t="shared" si="52"/>
        <v>5.7</v>
      </c>
      <c r="G64" s="3">
        <f t="shared" si="52"/>
        <v>2.85</v>
      </c>
      <c r="H64" s="3">
        <f t="shared" si="53"/>
        <v>0.23412067934121802</v>
      </c>
      <c r="I64" s="2">
        <f t="shared" si="54"/>
        <v>12.044555283177139</v>
      </c>
      <c r="J64" s="3">
        <f t="shared" si="55"/>
        <v>2.9153908400089046</v>
      </c>
      <c r="K64" s="3">
        <f t="shared" si="56"/>
        <v>14.959946123186043</v>
      </c>
      <c r="L64" s="10">
        <f t="shared" si="57"/>
        <v>4.1313689807505707</v>
      </c>
      <c r="M64" s="2">
        <f t="shared" ref="M64:N64" si="59">AVERAGE(I64:I65)</f>
        <v>12.044555283177139</v>
      </c>
      <c r="N64" s="2">
        <f t="shared" si="59"/>
        <v>2.784163242437093</v>
      </c>
      <c r="O64" s="3"/>
      <c r="P64" s="16"/>
      <c r="Q64" s="3"/>
      <c r="R64" s="3"/>
    </row>
    <row r="65" spans="1:18" customFormat="1" x14ac:dyDescent="0.3">
      <c r="A65" s="1"/>
      <c r="B65" s="3">
        <v>100</v>
      </c>
      <c r="C65" s="3">
        <v>5</v>
      </c>
      <c r="D65" s="3">
        <v>5.65</v>
      </c>
      <c r="E65" s="3">
        <v>2.8</v>
      </c>
      <c r="F65" s="3">
        <f t="shared" si="52"/>
        <v>5.65</v>
      </c>
      <c r="G65" s="3">
        <f t="shared" si="52"/>
        <v>2.8</v>
      </c>
      <c r="H65" s="3">
        <f t="shared" si="53"/>
        <v>0.23412067934121802</v>
      </c>
      <c r="I65" s="2">
        <f t="shared" si="54"/>
        <v>12.044555283177141</v>
      </c>
      <c r="J65" s="3">
        <f t="shared" si="55"/>
        <v>2.6529356448652819</v>
      </c>
      <c r="K65" s="3">
        <f t="shared" si="56"/>
        <v>14.697490928042424</v>
      </c>
      <c r="L65" s="10">
        <f t="shared" si="57"/>
        <v>4.5400857372809638</v>
      </c>
      <c r="M65" s="2"/>
      <c r="N65" s="2"/>
      <c r="O65" s="3"/>
      <c r="P65" s="16"/>
      <c r="Q65" s="3"/>
      <c r="R65" s="3"/>
    </row>
    <row r="66" spans="1:18" customFormat="1" x14ac:dyDescent="0.3">
      <c r="A66" s="1">
        <v>500918</v>
      </c>
      <c r="B66" s="3">
        <v>100</v>
      </c>
      <c r="C66" s="3">
        <v>5</v>
      </c>
      <c r="D66" s="3">
        <v>7.4</v>
      </c>
      <c r="E66" s="3">
        <v>3.65</v>
      </c>
      <c r="F66" s="3">
        <f t="shared" si="52"/>
        <v>7.4</v>
      </c>
      <c r="G66" s="3">
        <f t="shared" si="52"/>
        <v>3.65</v>
      </c>
      <c r="H66" s="3">
        <f t="shared" si="53"/>
        <v>0.23412067934121802</v>
      </c>
      <c r="I66" s="2">
        <f t="shared" si="54"/>
        <v>15.848099056812027</v>
      </c>
      <c r="J66" s="3">
        <f t="shared" si="55"/>
        <v>3.3111301886718496</v>
      </c>
      <c r="K66" s="3">
        <f t="shared" si="56"/>
        <v>19.159229245483875</v>
      </c>
      <c r="L66" s="10">
        <f t="shared" si="57"/>
        <v>4.7863110641291238</v>
      </c>
      <c r="M66" s="2">
        <f t="shared" ref="M66:N66" si="60">AVERAGE(I66:I67)</f>
        <v>16.270715031660348</v>
      </c>
      <c r="N66" s="2">
        <f t="shared" si="60"/>
        <v>3.1509694089671449</v>
      </c>
      <c r="O66" s="3"/>
      <c r="P66" s="16"/>
      <c r="Q66" s="3"/>
      <c r="R66" s="3"/>
    </row>
    <row r="67" spans="1:18" customFormat="1" x14ac:dyDescent="0.3">
      <c r="A67" s="1"/>
      <c r="B67" s="3">
        <v>100</v>
      </c>
      <c r="C67" s="3">
        <v>5</v>
      </c>
      <c r="D67" s="3">
        <v>7.7</v>
      </c>
      <c r="E67" s="3">
        <v>3.75</v>
      </c>
      <c r="F67" s="3">
        <f t="shared" si="52"/>
        <v>7.7</v>
      </c>
      <c r="G67" s="3">
        <f t="shared" si="52"/>
        <v>3.75</v>
      </c>
      <c r="H67" s="3">
        <f t="shared" si="53"/>
        <v>0.23412067934121802</v>
      </c>
      <c r="I67" s="2">
        <f t="shared" si="54"/>
        <v>16.693331006508672</v>
      </c>
      <c r="J67" s="3">
        <f t="shared" si="55"/>
        <v>2.9908086292624403</v>
      </c>
      <c r="K67" s="3">
        <f t="shared" si="56"/>
        <v>19.68413963577111</v>
      </c>
      <c r="L67" s="10">
        <f t="shared" si="57"/>
        <v>5.5815443499724671</v>
      </c>
      <c r="M67" s="2"/>
      <c r="N67" s="2"/>
      <c r="O67" s="3"/>
      <c r="P67" s="16"/>
      <c r="Q67" s="3"/>
      <c r="R67" s="3"/>
    </row>
    <row r="68" spans="1:18" customFormat="1" x14ac:dyDescent="0.3">
      <c r="A68" s="1">
        <v>500920</v>
      </c>
      <c r="B68" s="3">
        <v>100</v>
      </c>
      <c r="C68" s="3">
        <v>7</v>
      </c>
      <c r="D68" s="3">
        <v>2.6</v>
      </c>
      <c r="E68" s="3">
        <v>1.8</v>
      </c>
      <c r="F68" s="3">
        <f t="shared" si="52"/>
        <v>2.6</v>
      </c>
      <c r="G68" s="3">
        <f t="shared" si="52"/>
        <v>1.8</v>
      </c>
      <c r="H68" s="3">
        <f t="shared" si="53"/>
        <v>2.0824520395634091E-2</v>
      </c>
      <c r="I68" s="2">
        <f t="shared" si="54"/>
        <v>0.30072610458892413</v>
      </c>
      <c r="J68" s="3">
        <f t="shared" si="55"/>
        <v>0.53968717656654186</v>
      </c>
      <c r="K68" s="3">
        <f t="shared" si="56"/>
        <v>0.84041328115546599</v>
      </c>
      <c r="L68" s="10">
        <f t="shared" si="57"/>
        <v>0.55722299444305112</v>
      </c>
      <c r="M68" s="2">
        <f t="shared" ref="M68:N68" si="61">AVERAGE(I68:I69)</f>
        <v>0.28193072305211636</v>
      </c>
      <c r="N68" s="2">
        <f t="shared" si="61"/>
        <v>0.53513774473791997</v>
      </c>
      <c r="O68" s="3"/>
      <c r="P68" s="16"/>
      <c r="Q68" s="3"/>
      <c r="R68" s="3"/>
    </row>
    <row r="69" spans="1:18" customFormat="1" x14ac:dyDescent="0.3">
      <c r="A69" s="1"/>
      <c r="B69" s="3">
        <v>100</v>
      </c>
      <c r="C69" s="3">
        <v>7</v>
      </c>
      <c r="D69" s="3">
        <v>2.4</v>
      </c>
      <c r="E69" s="3">
        <v>1.7</v>
      </c>
      <c r="F69" s="3">
        <f t="shared" si="52"/>
        <v>2.4</v>
      </c>
      <c r="G69" s="3">
        <f t="shared" si="52"/>
        <v>1.7</v>
      </c>
      <c r="H69" s="3">
        <f t="shared" si="53"/>
        <v>2.0824520395634091E-2</v>
      </c>
      <c r="I69" s="2">
        <f t="shared" si="54"/>
        <v>0.2631353415153086</v>
      </c>
      <c r="J69" s="3">
        <f t="shared" si="55"/>
        <v>0.53058831290929809</v>
      </c>
      <c r="K69" s="3">
        <f t="shared" si="56"/>
        <v>0.79372365442460668</v>
      </c>
      <c r="L69" s="10">
        <f t="shared" si="57"/>
        <v>0.49593128064298414</v>
      </c>
      <c r="M69" s="2"/>
      <c r="N69" s="2"/>
      <c r="O69" s="3"/>
      <c r="P69" s="16"/>
      <c r="Q69" s="3"/>
      <c r="R69" s="3"/>
    </row>
    <row r="70" spans="1:18" customFormat="1" x14ac:dyDescent="0.3">
      <c r="A70" s="1">
        <v>500921</v>
      </c>
      <c r="B70" s="3">
        <v>100</v>
      </c>
      <c r="C70" s="3">
        <v>6</v>
      </c>
      <c r="D70" s="3">
        <v>4.5</v>
      </c>
      <c r="E70" s="3">
        <v>2.4</v>
      </c>
      <c r="F70" s="3">
        <f t="shared" si="52"/>
        <v>4.5</v>
      </c>
      <c r="G70" s="3">
        <f t="shared" si="52"/>
        <v>2.4</v>
      </c>
      <c r="H70" s="3">
        <f t="shared" si="53"/>
        <v>6.4908340024585107E-2</v>
      </c>
      <c r="I70" s="2">
        <f t="shared" si="54"/>
        <v>2.4605145129500947</v>
      </c>
      <c r="J70" s="3">
        <f t="shared" si="55"/>
        <v>1.0321521433475618</v>
      </c>
      <c r="K70" s="3">
        <f t="shared" si="56"/>
        <v>3.4926666562976565</v>
      </c>
      <c r="L70" s="10">
        <f t="shared" si="57"/>
        <v>2.3838680458192423</v>
      </c>
      <c r="M70" s="2">
        <f t="shared" ref="M70:N70" si="62">AVERAGE(I70:I71)</f>
        <v>2.4605145129500947</v>
      </c>
      <c r="N70" s="2">
        <f t="shared" si="62"/>
        <v>0.99577019901112807</v>
      </c>
      <c r="O70" s="3"/>
      <c r="P70" s="16"/>
      <c r="Q70" s="3"/>
      <c r="R70" s="3"/>
    </row>
    <row r="71" spans="1:18" customFormat="1" x14ac:dyDescent="0.3">
      <c r="A71" s="1"/>
      <c r="B71" s="3">
        <v>100</v>
      </c>
      <c r="C71" s="3">
        <v>6</v>
      </c>
      <c r="D71" s="3">
        <v>4.45</v>
      </c>
      <c r="E71" s="3">
        <v>2.35</v>
      </c>
      <c r="F71" s="3">
        <f t="shared" si="52"/>
        <v>4.45</v>
      </c>
      <c r="G71" s="3">
        <f t="shared" si="52"/>
        <v>2.35</v>
      </c>
      <c r="H71" s="3">
        <f t="shared" si="53"/>
        <v>6.4908340024585107E-2</v>
      </c>
      <c r="I71" s="2">
        <f t="shared" si="54"/>
        <v>2.4605145129500947</v>
      </c>
      <c r="J71" s="3">
        <f t="shared" si="55"/>
        <v>0.95938825467469424</v>
      </c>
      <c r="K71" s="3">
        <f t="shared" si="56"/>
        <v>3.4199027676247891</v>
      </c>
      <c r="L71" s="10">
        <f t="shared" si="57"/>
        <v>2.5646702479012489</v>
      </c>
      <c r="M71" s="2"/>
      <c r="N71" s="2"/>
      <c r="O71" s="3"/>
      <c r="P71" s="16"/>
      <c r="Q71" s="3"/>
      <c r="R71" s="3"/>
    </row>
    <row r="72" spans="1:18" customFormat="1" x14ac:dyDescent="0.3">
      <c r="A72" s="1">
        <v>500922</v>
      </c>
      <c r="B72" s="3">
        <v>100</v>
      </c>
      <c r="C72" s="3">
        <v>5</v>
      </c>
      <c r="D72" s="3">
        <v>4.45</v>
      </c>
      <c r="E72" s="3">
        <v>2.25</v>
      </c>
      <c r="F72" s="3">
        <f t="shared" si="52"/>
        <v>4.45</v>
      </c>
      <c r="G72" s="3">
        <f t="shared" si="52"/>
        <v>2.25</v>
      </c>
      <c r="H72" s="3">
        <f t="shared" si="53"/>
        <v>0.23412067934121802</v>
      </c>
      <c r="I72" s="2">
        <f t="shared" si="54"/>
        <v>9.2975514466630553</v>
      </c>
      <c r="J72" s="3">
        <f t="shared" si="55"/>
        <v>2.5129323347996095</v>
      </c>
      <c r="K72" s="3">
        <f t="shared" si="56"/>
        <v>11.810483781462665</v>
      </c>
      <c r="L72" s="10">
        <f t="shared" si="57"/>
        <v>3.6998813369976697</v>
      </c>
      <c r="M72" s="2">
        <f t="shared" ref="M72:N72" si="63">AVERAGE(I72:I73)</f>
        <v>8.8749354718147373</v>
      </c>
      <c r="N72" s="2">
        <f t="shared" si="63"/>
        <v>2.6730931145043142</v>
      </c>
      <c r="O72" s="3"/>
      <c r="P72" s="16"/>
      <c r="Q72" s="3"/>
      <c r="R72" s="3"/>
    </row>
    <row r="73" spans="1:18" customFormat="1" x14ac:dyDescent="0.3">
      <c r="A73" s="1"/>
      <c r="B73" s="3">
        <v>100</v>
      </c>
      <c r="C73" s="3">
        <v>5</v>
      </c>
      <c r="D73" s="3">
        <v>4.1500000000000004</v>
      </c>
      <c r="E73" s="3">
        <v>2.15</v>
      </c>
      <c r="F73" s="3">
        <f t="shared" si="52"/>
        <v>4.1500000000000004</v>
      </c>
      <c r="G73" s="3">
        <f t="shared" si="52"/>
        <v>2.15</v>
      </c>
      <c r="H73" s="3">
        <f t="shared" si="53"/>
        <v>0.23412067934121802</v>
      </c>
      <c r="I73" s="2">
        <f t="shared" si="54"/>
        <v>8.4523194969664175</v>
      </c>
      <c r="J73" s="3">
        <f t="shared" si="55"/>
        <v>2.8332538942090189</v>
      </c>
      <c r="K73" s="3">
        <f t="shared" si="56"/>
        <v>11.285573391175436</v>
      </c>
      <c r="L73" s="10">
        <f t="shared" si="57"/>
        <v>2.9832552296998136</v>
      </c>
      <c r="M73" s="2"/>
      <c r="N73" s="2"/>
      <c r="O73" s="3"/>
      <c r="P73" s="16"/>
      <c r="Q73" s="3"/>
      <c r="R73" s="3"/>
    </row>
    <row r="74" spans="1:18" customFormat="1" x14ac:dyDescent="0.3">
      <c r="A74" s="1">
        <v>500923</v>
      </c>
      <c r="B74" s="3">
        <v>100</v>
      </c>
      <c r="C74" s="3">
        <v>5</v>
      </c>
      <c r="D74" s="3">
        <v>3.9</v>
      </c>
      <c r="E74" s="3">
        <v>2</v>
      </c>
      <c r="F74" s="3">
        <f t="shared" si="52"/>
        <v>3.9</v>
      </c>
      <c r="G74" s="3">
        <f t="shared" si="52"/>
        <v>2</v>
      </c>
      <c r="H74" s="3">
        <f t="shared" si="53"/>
        <v>0.23412067934121802</v>
      </c>
      <c r="I74" s="2">
        <f t="shared" si="54"/>
        <v>8.0297035221180924</v>
      </c>
      <c r="J74" s="3">
        <f t="shared" si="55"/>
        <v>2.4685042836264968</v>
      </c>
      <c r="K74" s="3">
        <f t="shared" si="56"/>
        <v>10.498207805744588</v>
      </c>
      <c r="L74" s="10">
        <f t="shared" si="57"/>
        <v>3.2528618951074288</v>
      </c>
      <c r="M74" s="2">
        <f t="shared" ref="M74:N74" si="64">AVERAGE(I74:I75)</f>
        <v>8.346665503254334</v>
      </c>
      <c r="N74" s="2">
        <f t="shared" si="64"/>
        <v>2.4139974976338707</v>
      </c>
      <c r="O74" s="3"/>
      <c r="P74" s="16"/>
      <c r="Q74" s="3"/>
      <c r="R74" s="3"/>
    </row>
    <row r="75" spans="1:18" customFormat="1" x14ac:dyDescent="0.3">
      <c r="A75" s="1"/>
      <c r="B75" s="3">
        <v>100</v>
      </c>
      <c r="C75" s="3">
        <v>5</v>
      </c>
      <c r="D75" s="3">
        <v>4.1500000000000004</v>
      </c>
      <c r="E75" s="3">
        <v>2.1</v>
      </c>
      <c r="F75" s="3">
        <f t="shared" si="52"/>
        <v>4.1500000000000004</v>
      </c>
      <c r="G75" s="3">
        <f t="shared" si="52"/>
        <v>2.1</v>
      </c>
      <c r="H75" s="3">
        <f t="shared" si="53"/>
        <v>0.23412067934121802</v>
      </c>
      <c r="I75" s="2">
        <f t="shared" si="54"/>
        <v>8.6636274843905756</v>
      </c>
      <c r="J75" s="3">
        <f t="shared" si="55"/>
        <v>2.3594907116412447</v>
      </c>
      <c r="K75" s="3">
        <f t="shared" si="56"/>
        <v>11.02311819603182</v>
      </c>
      <c r="L75" s="10">
        <f t="shared" si="57"/>
        <v>3.6718209746052439</v>
      </c>
      <c r="M75" s="2"/>
      <c r="N75" s="2"/>
      <c r="O75" s="3"/>
      <c r="P75" s="16"/>
      <c r="Q75" s="3"/>
      <c r="R75" s="3"/>
    </row>
    <row r="76" spans="1:18" customFormat="1" x14ac:dyDescent="0.3">
      <c r="A76" s="1">
        <v>500925</v>
      </c>
      <c r="B76" s="3">
        <v>100</v>
      </c>
      <c r="C76" s="3">
        <v>8</v>
      </c>
      <c r="D76" s="3">
        <v>7.05</v>
      </c>
      <c r="E76" s="3">
        <v>4.8</v>
      </c>
      <c r="F76" s="3">
        <f t="shared" si="52"/>
        <v>7.05</v>
      </c>
      <c r="G76" s="3">
        <f t="shared" si="52"/>
        <v>4.8</v>
      </c>
      <c r="H76" s="3">
        <f t="shared" si="53"/>
        <v>6.7400264700321387E-3</v>
      </c>
      <c r="I76" s="2">
        <f t="shared" si="54"/>
        <v>0.27374755816488583</v>
      </c>
      <c r="J76" s="3">
        <f t="shared" si="55"/>
        <v>0.45160347393756572</v>
      </c>
      <c r="K76" s="3">
        <f t="shared" si="56"/>
        <v>0.72535103210245155</v>
      </c>
      <c r="L76" s="10">
        <f t="shared" si="57"/>
        <v>0.60616796362981806</v>
      </c>
      <c r="M76" s="2">
        <f t="shared" ref="M76:N76" si="65">AVERAGE(I76:I77)</f>
        <v>0.2919973953758781</v>
      </c>
      <c r="N76" s="2">
        <f t="shared" si="65"/>
        <v>0.49757742602731136</v>
      </c>
      <c r="O76" s="3"/>
      <c r="P76" s="16"/>
      <c r="Q76" s="3"/>
      <c r="R76" s="3"/>
    </row>
    <row r="77" spans="1:18" customFormat="1" x14ac:dyDescent="0.3">
      <c r="A77" s="1"/>
      <c r="B77" s="3">
        <v>100</v>
      </c>
      <c r="C77" s="3">
        <v>8</v>
      </c>
      <c r="D77" s="3">
        <v>8.1999999999999993</v>
      </c>
      <c r="E77" s="3">
        <v>5.65</v>
      </c>
      <c r="F77" s="3">
        <f t="shared" si="52"/>
        <v>8.1999999999999993</v>
      </c>
      <c r="G77" s="3">
        <f t="shared" si="52"/>
        <v>5.65</v>
      </c>
      <c r="H77" s="3">
        <f t="shared" si="53"/>
        <v>6.7400264700321387E-3</v>
      </c>
      <c r="I77" s="2">
        <f t="shared" si="54"/>
        <v>0.31024723258687043</v>
      </c>
      <c r="J77" s="3">
        <f t="shared" si="55"/>
        <v>0.543551378117057</v>
      </c>
      <c r="K77" s="3">
        <f t="shared" si="56"/>
        <v>0.85379861070392749</v>
      </c>
      <c r="L77" s="10">
        <f t="shared" si="57"/>
        <v>0.57077811790600752</v>
      </c>
      <c r="M77" s="2"/>
      <c r="N77" s="2"/>
      <c r="O77" s="3"/>
      <c r="P77" s="16"/>
      <c r="Q77" s="3"/>
      <c r="R77" s="3"/>
    </row>
    <row r="78" spans="1:18" customFormat="1" x14ac:dyDescent="0.3">
      <c r="A78" s="1">
        <v>500926</v>
      </c>
      <c r="B78" s="3">
        <v>100</v>
      </c>
      <c r="C78" s="3">
        <v>6</v>
      </c>
      <c r="D78" s="3">
        <v>3.5</v>
      </c>
      <c r="E78" s="3">
        <v>2</v>
      </c>
      <c r="F78" s="3">
        <f t="shared" si="52"/>
        <v>3.5</v>
      </c>
      <c r="G78" s="3">
        <f t="shared" si="52"/>
        <v>2</v>
      </c>
      <c r="H78" s="3">
        <f t="shared" si="53"/>
        <v>6.4908340024585107E-2</v>
      </c>
      <c r="I78" s="2">
        <f t="shared" si="54"/>
        <v>1.7575103663929246</v>
      </c>
      <c r="J78" s="3">
        <f t="shared" si="55"/>
        <v>1.1530451805217887</v>
      </c>
      <c r="K78" s="3">
        <f t="shared" si="56"/>
        <v>2.9105555469147131</v>
      </c>
      <c r="L78" s="10">
        <f t="shared" si="57"/>
        <v>1.5242337386966889</v>
      </c>
      <c r="M78" s="2">
        <f t="shared" ref="M78:N78" si="66">AVERAGE(I78:I79)</f>
        <v>1.816094045272689</v>
      </c>
      <c r="N78" s="2">
        <f t="shared" si="66"/>
        <v>1.0944615016420245</v>
      </c>
      <c r="O78" s="3"/>
      <c r="P78" s="16"/>
      <c r="Q78" s="3"/>
      <c r="R78" s="3"/>
    </row>
    <row r="79" spans="1:18" customFormat="1" x14ac:dyDescent="0.3">
      <c r="A79" s="1"/>
      <c r="B79" s="3">
        <v>100</v>
      </c>
      <c r="C79" s="3">
        <v>6</v>
      </c>
      <c r="D79" s="3">
        <v>3.6</v>
      </c>
      <c r="E79" s="3">
        <v>2</v>
      </c>
      <c r="F79" s="3">
        <f t="shared" si="52"/>
        <v>3.6</v>
      </c>
      <c r="G79" s="3">
        <f t="shared" si="52"/>
        <v>2</v>
      </c>
      <c r="H79" s="3">
        <f t="shared" si="53"/>
        <v>6.4908340024585107E-2</v>
      </c>
      <c r="I79" s="2">
        <f t="shared" si="54"/>
        <v>1.8746777241524535</v>
      </c>
      <c r="J79" s="3">
        <f t="shared" si="55"/>
        <v>1.0358778227622603</v>
      </c>
      <c r="K79" s="3">
        <f t="shared" si="56"/>
        <v>2.910555546914714</v>
      </c>
      <c r="L79" s="10">
        <f t="shared" si="57"/>
        <v>1.8097479094141227</v>
      </c>
      <c r="M79" s="2"/>
      <c r="N79" s="2"/>
      <c r="O79" s="3"/>
      <c r="P79" s="16"/>
      <c r="Q79" s="3"/>
      <c r="R79" s="3"/>
    </row>
    <row r="80" spans="1:18" customFormat="1" x14ac:dyDescent="0.3">
      <c r="A80" s="1">
        <v>500927</v>
      </c>
      <c r="B80" s="3">
        <v>100</v>
      </c>
      <c r="C80" s="3">
        <v>6</v>
      </c>
      <c r="D80" s="3">
        <v>5.95</v>
      </c>
      <c r="E80" s="3">
        <v>3.5</v>
      </c>
      <c r="F80" s="3">
        <f t="shared" si="52"/>
        <v>5.95</v>
      </c>
      <c r="G80" s="3">
        <f t="shared" si="52"/>
        <v>3.5</v>
      </c>
      <c r="H80" s="3">
        <f t="shared" si="53"/>
        <v>6.4908340024585107E-2</v>
      </c>
      <c r="I80" s="2">
        <f t="shared" si="54"/>
        <v>2.8706002651084446</v>
      </c>
      <c r="J80" s="3">
        <f t="shared" si="55"/>
        <v>2.2228719419923038</v>
      </c>
      <c r="K80" s="3">
        <f t="shared" si="56"/>
        <v>5.0934722071007483</v>
      </c>
      <c r="L80" s="10">
        <f t="shared" si="57"/>
        <v>1.2913925498270487</v>
      </c>
      <c r="M80" s="2">
        <f t="shared" ref="M80:N80" si="67">AVERAGE(I80:I81)</f>
        <v>2.8998921045483268</v>
      </c>
      <c r="N80" s="2">
        <f t="shared" si="67"/>
        <v>2.193580102552422</v>
      </c>
      <c r="O80" s="3"/>
      <c r="P80" s="16"/>
      <c r="Q80" s="3"/>
      <c r="R80" s="3"/>
    </row>
    <row r="81" spans="1:18" customFormat="1" x14ac:dyDescent="0.3">
      <c r="A81" s="1"/>
      <c r="B81" s="3">
        <v>100</v>
      </c>
      <c r="C81" s="3">
        <v>6</v>
      </c>
      <c r="D81" s="3">
        <v>6</v>
      </c>
      <c r="E81" s="3">
        <v>3.5</v>
      </c>
      <c r="F81" s="3">
        <f t="shared" si="52"/>
        <v>6</v>
      </c>
      <c r="G81" s="3">
        <f t="shared" si="52"/>
        <v>3.5</v>
      </c>
      <c r="H81" s="3">
        <f t="shared" si="53"/>
        <v>6.4908340024585107E-2</v>
      </c>
      <c r="I81" s="2">
        <f t="shared" si="54"/>
        <v>2.9291839439882086</v>
      </c>
      <c r="J81" s="3">
        <f t="shared" si="55"/>
        <v>2.1642882631125402</v>
      </c>
      <c r="K81" s="3">
        <f t="shared" si="56"/>
        <v>5.0934722071007492</v>
      </c>
      <c r="L81" s="10">
        <f t="shared" si="57"/>
        <v>1.3534167300688702</v>
      </c>
      <c r="M81" s="2"/>
      <c r="N81" s="2"/>
      <c r="O81" s="3"/>
      <c r="P81" s="16"/>
      <c r="Q81" s="3"/>
      <c r="R81" s="3"/>
    </row>
    <row r="82" spans="1:18" customFormat="1" x14ac:dyDescent="0.3">
      <c r="A82" s="1">
        <v>500928</v>
      </c>
      <c r="B82" s="3">
        <v>100</v>
      </c>
      <c r="C82" s="3">
        <v>7</v>
      </c>
      <c r="D82" s="3">
        <v>5.45</v>
      </c>
      <c r="E82" s="3">
        <v>3.5</v>
      </c>
      <c r="F82" s="3">
        <f t="shared" si="52"/>
        <v>5.45</v>
      </c>
      <c r="G82" s="3">
        <f t="shared" si="52"/>
        <v>3.5</v>
      </c>
      <c r="H82" s="3">
        <f t="shared" si="53"/>
        <v>2.0824520395634091E-2</v>
      </c>
      <c r="I82" s="2">
        <f t="shared" si="54"/>
        <v>0.73301987993550266</v>
      </c>
      <c r="J82" s="3">
        <f t="shared" si="55"/>
        <v>0.90111705564457001</v>
      </c>
      <c r="K82" s="3">
        <f t="shared" si="56"/>
        <v>1.6341369355800728</v>
      </c>
      <c r="L82" s="10">
        <f t="shared" si="57"/>
        <v>0.81345689258003528</v>
      </c>
      <c r="M82" s="2">
        <f t="shared" ref="M82:N82" si="68">AVERAGE(I82:I83)</f>
        <v>0.73301987993550266</v>
      </c>
      <c r="N82" s="2">
        <f t="shared" si="68"/>
        <v>0.9478066823754292</v>
      </c>
      <c r="O82" s="3"/>
      <c r="P82" s="16"/>
      <c r="Q82" s="3"/>
      <c r="R82" s="3"/>
    </row>
    <row r="83" spans="1:18" customFormat="1" x14ac:dyDescent="0.3">
      <c r="A83" s="1"/>
      <c r="B83" s="3">
        <v>100</v>
      </c>
      <c r="C83" s="3">
        <v>7</v>
      </c>
      <c r="D83" s="3">
        <v>5.65</v>
      </c>
      <c r="E83" s="3">
        <v>3.7</v>
      </c>
      <c r="F83" s="3">
        <f t="shared" si="52"/>
        <v>5.65</v>
      </c>
      <c r="G83" s="3">
        <f t="shared" si="52"/>
        <v>3.7</v>
      </c>
      <c r="H83" s="3">
        <f t="shared" si="53"/>
        <v>2.0824520395634091E-2</v>
      </c>
      <c r="I83" s="2">
        <f t="shared" si="54"/>
        <v>0.73301987993550266</v>
      </c>
      <c r="J83" s="3">
        <f t="shared" si="55"/>
        <v>0.9944963091062885</v>
      </c>
      <c r="K83" s="3">
        <f t="shared" si="56"/>
        <v>1.7275161890417912</v>
      </c>
      <c r="L83" s="10">
        <f t="shared" si="57"/>
        <v>0.73707652127360479</v>
      </c>
      <c r="M83" s="2"/>
      <c r="N83" s="2"/>
      <c r="O83" s="3"/>
      <c r="P83" s="16"/>
      <c r="Q83" s="3"/>
      <c r="R83" s="3"/>
    </row>
    <row r="84" spans="1:18" customFormat="1" x14ac:dyDescent="0.3">
      <c r="A84" s="1">
        <v>500930</v>
      </c>
      <c r="B84" s="3">
        <v>100</v>
      </c>
      <c r="C84" s="3">
        <v>8</v>
      </c>
      <c r="D84" s="3">
        <v>7.3</v>
      </c>
      <c r="E84" s="3">
        <v>4.9000000000000004</v>
      </c>
      <c r="F84" s="3">
        <f t="shared" si="52"/>
        <v>7.3</v>
      </c>
      <c r="G84" s="3">
        <f t="shared" si="52"/>
        <v>4.9000000000000004</v>
      </c>
      <c r="H84" s="3">
        <f t="shared" si="53"/>
        <v>6.7400264700321387E-3</v>
      </c>
      <c r="I84" s="2">
        <f t="shared" si="54"/>
        <v>0.29199739537587815</v>
      </c>
      <c r="J84" s="3">
        <f t="shared" si="55"/>
        <v>0.4484651165620413</v>
      </c>
      <c r="K84" s="3">
        <f t="shared" si="56"/>
        <v>0.74046251193791945</v>
      </c>
      <c r="L84" s="10">
        <f t="shared" si="57"/>
        <v>0.65110391999793993</v>
      </c>
      <c r="M84" s="2">
        <f t="shared" ref="M84:N84" si="69">AVERAGE(I84:I85)</f>
        <v>0.3011223139813744</v>
      </c>
      <c r="N84" s="2">
        <f t="shared" si="69"/>
        <v>0.49223037738068209</v>
      </c>
      <c r="O84" s="3"/>
      <c r="P84" s="16"/>
      <c r="Q84" s="3"/>
      <c r="R84" s="3"/>
    </row>
    <row r="85" spans="1:18" customFormat="1" x14ac:dyDescent="0.3">
      <c r="A85" s="1"/>
      <c r="B85" s="3">
        <v>100</v>
      </c>
      <c r="C85" s="3">
        <v>8</v>
      </c>
      <c r="D85" s="3">
        <v>8.15</v>
      </c>
      <c r="E85" s="3">
        <v>5.6</v>
      </c>
      <c r="F85" s="3">
        <f t="shared" si="52"/>
        <v>8.15</v>
      </c>
      <c r="G85" s="3">
        <f t="shared" si="52"/>
        <v>5.6</v>
      </c>
      <c r="H85" s="3">
        <f t="shared" si="53"/>
        <v>6.7400264700321387E-3</v>
      </c>
      <c r="I85" s="2">
        <f t="shared" si="54"/>
        <v>0.31024723258687065</v>
      </c>
      <c r="J85" s="3">
        <f t="shared" si="55"/>
        <v>0.53599563819932283</v>
      </c>
      <c r="K85" s="3">
        <f t="shared" si="56"/>
        <v>0.84624287078619354</v>
      </c>
      <c r="L85" s="10">
        <f t="shared" si="57"/>
        <v>0.57882417407191245</v>
      </c>
      <c r="M85" s="2"/>
      <c r="N85" s="2"/>
      <c r="O85" s="3"/>
      <c r="P85" s="16"/>
      <c r="Q85" s="3"/>
      <c r="R85" s="3"/>
    </row>
    <row r="86" spans="1:18" customFormat="1" x14ac:dyDescent="0.3">
      <c r="A86" s="1">
        <v>500931</v>
      </c>
      <c r="B86" s="3">
        <v>100</v>
      </c>
      <c r="C86" s="3">
        <v>7</v>
      </c>
      <c r="D86" s="3">
        <v>6.3</v>
      </c>
      <c r="E86" s="3">
        <v>3.65</v>
      </c>
      <c r="F86" s="3">
        <f t="shared" si="52"/>
        <v>6.3</v>
      </c>
      <c r="G86" s="3">
        <f t="shared" si="52"/>
        <v>3.65</v>
      </c>
      <c r="H86" s="3">
        <f t="shared" si="53"/>
        <v>2.0824520395634091E-2</v>
      </c>
      <c r="I86" s="2">
        <f t="shared" si="54"/>
        <v>0.99615522145081115</v>
      </c>
      <c r="J86" s="3">
        <f t="shared" si="55"/>
        <v>0.70801615422555086</v>
      </c>
      <c r="K86" s="3">
        <f t="shared" si="56"/>
        <v>1.7041713756763621</v>
      </c>
      <c r="L86" s="10">
        <f t="shared" si="57"/>
        <v>1.4069667980110361</v>
      </c>
      <c r="M86" s="2">
        <f t="shared" ref="M86:N86" si="70">AVERAGE(I86:I87)</f>
        <v>0.99615522145081115</v>
      </c>
      <c r="N86" s="2">
        <f t="shared" si="70"/>
        <v>0.67299893417740642</v>
      </c>
      <c r="O86" s="3"/>
      <c r="P86" s="16"/>
      <c r="Q86" s="3"/>
      <c r="R86" s="3"/>
    </row>
    <row r="87" spans="1:18" customFormat="1" x14ac:dyDescent="0.3">
      <c r="A87" s="1"/>
      <c r="B87" s="3">
        <v>100</v>
      </c>
      <c r="C87" s="3">
        <v>7</v>
      </c>
      <c r="D87" s="3">
        <v>6.15</v>
      </c>
      <c r="E87" s="3">
        <v>3.5</v>
      </c>
      <c r="F87" s="3">
        <f t="shared" si="52"/>
        <v>6.15</v>
      </c>
      <c r="G87" s="3">
        <f t="shared" si="52"/>
        <v>3.5</v>
      </c>
      <c r="H87" s="3">
        <f t="shared" si="53"/>
        <v>2.0824520395634091E-2</v>
      </c>
      <c r="I87" s="2">
        <f t="shared" si="54"/>
        <v>0.99615522145081126</v>
      </c>
      <c r="J87" s="3">
        <f t="shared" si="55"/>
        <v>0.63798171412926197</v>
      </c>
      <c r="K87" s="3">
        <f t="shared" si="56"/>
        <v>1.6341369355800732</v>
      </c>
      <c r="L87" s="10">
        <f t="shared" si="57"/>
        <v>1.5614165725900091</v>
      </c>
      <c r="M87" s="2"/>
      <c r="N87" s="2"/>
      <c r="O87" s="3"/>
      <c r="P87" s="16"/>
      <c r="Q87" s="3"/>
      <c r="R87" s="3"/>
    </row>
    <row r="88" spans="1:18" customFormat="1" x14ac:dyDescent="0.3">
      <c r="A88" s="1">
        <v>500932</v>
      </c>
      <c r="B88" s="3">
        <v>100</v>
      </c>
      <c r="C88" s="3">
        <v>6</v>
      </c>
      <c r="D88" s="3">
        <v>5.0999999999999996</v>
      </c>
      <c r="E88" s="3">
        <v>2.65</v>
      </c>
      <c r="F88" s="3">
        <f t="shared" si="52"/>
        <v>5.0999999999999996</v>
      </c>
      <c r="G88" s="3">
        <f t="shared" si="52"/>
        <v>2.65</v>
      </c>
      <c r="H88" s="3">
        <f t="shared" si="53"/>
        <v>6.4908340024585107E-2</v>
      </c>
      <c r="I88" s="2">
        <f t="shared" si="54"/>
        <v>2.8706002651084441</v>
      </c>
      <c r="J88" s="3">
        <f t="shared" si="55"/>
        <v>0.98588583455355239</v>
      </c>
      <c r="K88" s="3">
        <f t="shared" si="56"/>
        <v>3.8564860996619963</v>
      </c>
      <c r="L88" s="10">
        <f t="shared" si="57"/>
        <v>2.9116964302548927</v>
      </c>
      <c r="M88" s="2">
        <f t="shared" ref="M88:N88" si="71">AVERAGE(I88:I89)</f>
        <v>2.8706002651084441</v>
      </c>
      <c r="N88" s="2">
        <f t="shared" si="71"/>
        <v>0.94950389021711845</v>
      </c>
      <c r="O88" s="3"/>
      <c r="P88" s="16"/>
      <c r="Q88" s="3"/>
      <c r="R88" s="3"/>
    </row>
    <row r="89" spans="1:18" customFormat="1" x14ac:dyDescent="0.3">
      <c r="A89" s="1"/>
      <c r="B89" s="3">
        <v>100</v>
      </c>
      <c r="C89" s="3">
        <v>6</v>
      </c>
      <c r="D89" s="3">
        <v>5.05</v>
      </c>
      <c r="E89" s="3">
        <v>2.6</v>
      </c>
      <c r="F89" s="3">
        <f t="shared" si="52"/>
        <v>5.05</v>
      </c>
      <c r="G89" s="3">
        <f t="shared" si="52"/>
        <v>2.6</v>
      </c>
      <c r="H89" s="3">
        <f t="shared" si="53"/>
        <v>6.4908340024585107E-2</v>
      </c>
      <c r="I89" s="2">
        <f t="shared" si="54"/>
        <v>2.8706002651084441</v>
      </c>
      <c r="J89" s="3">
        <f t="shared" si="55"/>
        <v>0.91312194588068463</v>
      </c>
      <c r="K89" s="3">
        <f t="shared" si="56"/>
        <v>3.7837222109891289</v>
      </c>
      <c r="L89" s="10">
        <f t="shared" si="57"/>
        <v>3.1437205929157881</v>
      </c>
      <c r="M89" s="2"/>
      <c r="N89" s="2"/>
      <c r="O89" s="3"/>
      <c r="P89" s="16"/>
      <c r="Q89" s="3"/>
      <c r="R89" s="3"/>
    </row>
    <row r="90" spans="1:18" customFormat="1" x14ac:dyDescent="0.3">
      <c r="A90" s="1">
        <v>500933</v>
      </c>
      <c r="B90" s="3">
        <v>100</v>
      </c>
      <c r="C90" s="3">
        <v>6</v>
      </c>
      <c r="D90" s="3">
        <v>2.7</v>
      </c>
      <c r="E90" s="3">
        <v>1.4</v>
      </c>
      <c r="F90" s="3">
        <f t="shared" si="52"/>
        <v>2.7</v>
      </c>
      <c r="G90" s="3">
        <f t="shared" si="52"/>
        <v>1.4</v>
      </c>
      <c r="H90" s="3">
        <f t="shared" si="53"/>
        <v>6.4908340024585107E-2</v>
      </c>
      <c r="I90" s="2">
        <f t="shared" si="54"/>
        <v>1.5231756508738687</v>
      </c>
      <c r="J90" s="3">
        <f t="shared" si="55"/>
        <v>0.51421323196643121</v>
      </c>
      <c r="K90" s="3">
        <f t="shared" si="56"/>
        <v>2.0373888828403</v>
      </c>
      <c r="L90" s="10">
        <f t="shared" si="57"/>
        <v>2.9621479109921163</v>
      </c>
      <c r="M90" s="2">
        <f t="shared" ref="M90:N90" si="72">AVERAGE(I90:I91)</f>
        <v>1.5524674903137505</v>
      </c>
      <c r="N90" s="2">
        <f t="shared" si="72"/>
        <v>0.55768528119941729</v>
      </c>
      <c r="O90" s="3"/>
      <c r="P90" s="16"/>
      <c r="Q90" s="3"/>
      <c r="R90" s="3"/>
    </row>
    <row r="91" spans="1:18" customFormat="1" x14ac:dyDescent="0.3">
      <c r="A91" s="1"/>
      <c r="B91" s="3">
        <v>100</v>
      </c>
      <c r="C91" s="3">
        <v>6</v>
      </c>
      <c r="D91" s="3">
        <v>2.85</v>
      </c>
      <c r="E91" s="3">
        <v>1.5</v>
      </c>
      <c r="F91" s="3">
        <f t="shared" si="52"/>
        <v>2.85</v>
      </c>
      <c r="G91" s="3">
        <f t="shared" si="52"/>
        <v>1.5</v>
      </c>
      <c r="H91" s="3">
        <f t="shared" si="53"/>
        <v>6.4908340024585107E-2</v>
      </c>
      <c r="I91" s="2">
        <f t="shared" si="54"/>
        <v>1.5817593297536325</v>
      </c>
      <c r="J91" s="3">
        <f t="shared" si="55"/>
        <v>0.60115733043240338</v>
      </c>
      <c r="K91" s="3">
        <f t="shared" si="56"/>
        <v>2.1829166601860361</v>
      </c>
      <c r="L91" s="10">
        <f t="shared" si="57"/>
        <v>2.6311902885986553</v>
      </c>
      <c r="M91" s="2"/>
      <c r="N91" s="2"/>
      <c r="O91" s="3"/>
      <c r="P91" s="16"/>
      <c r="Q91" s="3"/>
      <c r="R91" s="3"/>
    </row>
    <row r="92" spans="1:18" customFormat="1" x14ac:dyDescent="0.3">
      <c r="A92" s="1">
        <v>500935</v>
      </c>
      <c r="B92" s="3">
        <v>100</v>
      </c>
      <c r="C92" s="3">
        <v>8</v>
      </c>
      <c r="D92" s="3">
        <v>2</v>
      </c>
      <c r="E92" s="3">
        <v>1.3</v>
      </c>
      <c r="F92" s="3">
        <f t="shared" si="52"/>
        <v>2</v>
      </c>
      <c r="G92" s="3">
        <f t="shared" si="52"/>
        <v>1.3</v>
      </c>
      <c r="H92" s="3">
        <f t="shared" si="53"/>
        <v>6.7400264700321387E-3</v>
      </c>
      <c r="I92" s="2">
        <f t="shared" si="54"/>
        <v>8.5165906984631126E-2</v>
      </c>
      <c r="J92" s="3">
        <f t="shared" si="55"/>
        <v>0.11128333087644954</v>
      </c>
      <c r="K92" s="3">
        <f t="shared" si="56"/>
        <v>0.19644923786108065</v>
      </c>
      <c r="L92" s="10">
        <f t="shared" si="57"/>
        <v>0.76530695400540405</v>
      </c>
      <c r="M92" s="2">
        <f t="shared" ref="M92:N92" si="73">AVERAGE(I92:I93)</f>
        <v>9.7332465125292714E-2</v>
      </c>
      <c r="N92" s="2">
        <f t="shared" si="73"/>
        <v>0.12178399248898958</v>
      </c>
      <c r="O92" s="3"/>
      <c r="P92" s="16"/>
      <c r="Q92" s="3"/>
      <c r="R92" s="3"/>
    </row>
    <row r="93" spans="1:18" customFormat="1" x14ac:dyDescent="0.3">
      <c r="A93" s="1"/>
      <c r="B93" s="3">
        <v>100</v>
      </c>
      <c r="C93" s="3">
        <v>8</v>
      </c>
      <c r="D93" s="3">
        <v>2.5</v>
      </c>
      <c r="E93" s="3">
        <v>1.6</v>
      </c>
      <c r="F93" s="3">
        <f t="shared" si="52"/>
        <v>2.5</v>
      </c>
      <c r="G93" s="3">
        <f t="shared" si="52"/>
        <v>1.6</v>
      </c>
      <c r="H93" s="3">
        <f t="shared" si="53"/>
        <v>6.7400264700321387E-3</v>
      </c>
      <c r="I93" s="2">
        <f t="shared" si="54"/>
        <v>0.1094990232659543</v>
      </c>
      <c r="J93" s="3">
        <f t="shared" si="55"/>
        <v>0.13228465410152962</v>
      </c>
      <c r="K93" s="3">
        <f t="shared" si="56"/>
        <v>0.24178367736748391</v>
      </c>
      <c r="L93" s="10">
        <f t="shared" si="57"/>
        <v>0.82775303008248302</v>
      </c>
      <c r="M93" s="2"/>
      <c r="N93" s="2"/>
      <c r="O93" s="3"/>
      <c r="P93" s="16"/>
      <c r="Q93" s="3"/>
      <c r="R93" s="3"/>
    </row>
    <row r="94" spans="1:18" customFormat="1" x14ac:dyDescent="0.3">
      <c r="A94" s="1">
        <v>500936</v>
      </c>
      <c r="B94" s="3">
        <v>100</v>
      </c>
      <c r="C94" s="3">
        <v>5</v>
      </c>
      <c r="D94" s="3">
        <v>3.9</v>
      </c>
      <c r="E94" s="3">
        <v>2.4</v>
      </c>
      <c r="F94" s="3">
        <f t="shared" si="52"/>
        <v>3.9</v>
      </c>
      <c r="G94" s="3">
        <f t="shared" si="52"/>
        <v>2.4</v>
      </c>
      <c r="H94" s="3">
        <f t="shared" si="53"/>
        <v>0.23412067934121802</v>
      </c>
      <c r="I94" s="2">
        <f t="shared" si="54"/>
        <v>6.3392396227248105</v>
      </c>
      <c r="J94" s="3">
        <f t="shared" si="55"/>
        <v>6.2586097441686901</v>
      </c>
      <c r="K94" s="3">
        <f t="shared" si="56"/>
        <v>12.597849366893501</v>
      </c>
      <c r="L94" s="10">
        <f t="shared" si="57"/>
        <v>1.0128830334294681</v>
      </c>
      <c r="M94" s="2">
        <f t="shared" ref="M94:N94" si="74">AVERAGE(I94:I95)</f>
        <v>6.5505476101489712</v>
      </c>
      <c r="N94" s="2">
        <f t="shared" si="74"/>
        <v>6.0473017567445311</v>
      </c>
      <c r="O94" s="3"/>
      <c r="P94" s="16"/>
      <c r="Q94" s="3"/>
      <c r="R94" s="3"/>
    </row>
    <row r="95" spans="1:18" customFormat="1" x14ac:dyDescent="0.3">
      <c r="A95" s="1"/>
      <c r="B95" s="3">
        <v>100</v>
      </c>
      <c r="C95" s="3">
        <v>5</v>
      </c>
      <c r="D95" s="3">
        <v>4</v>
      </c>
      <c r="E95" s="3">
        <v>2.4</v>
      </c>
      <c r="F95" s="3">
        <f t="shared" si="52"/>
        <v>4</v>
      </c>
      <c r="G95" s="3">
        <f t="shared" si="52"/>
        <v>2.4</v>
      </c>
      <c r="H95" s="3">
        <f t="shared" si="53"/>
        <v>0.23412067934121802</v>
      </c>
      <c r="I95" s="2">
        <f t="shared" si="54"/>
        <v>6.761855597573132</v>
      </c>
      <c r="J95" s="3">
        <f t="shared" si="55"/>
        <v>5.8359937693203712</v>
      </c>
      <c r="K95" s="3">
        <f t="shared" si="56"/>
        <v>12.597849366893502</v>
      </c>
      <c r="L95" s="10">
        <f t="shared" si="57"/>
        <v>1.1586468157522694</v>
      </c>
      <c r="M95" s="2"/>
      <c r="N95" s="2"/>
      <c r="O95" s="3"/>
      <c r="P95" s="16"/>
      <c r="Q95" s="3"/>
      <c r="R95" s="3"/>
    </row>
    <row r="96" spans="1:18" customFormat="1" x14ac:dyDescent="0.3">
      <c r="A96" s="1">
        <v>500937</v>
      </c>
      <c r="B96" s="3">
        <v>100</v>
      </c>
      <c r="C96" s="3">
        <v>5</v>
      </c>
      <c r="D96" s="3">
        <v>4.05</v>
      </c>
      <c r="E96" s="3">
        <v>2.35</v>
      </c>
      <c r="F96" s="3">
        <f t="shared" si="52"/>
        <v>4.05</v>
      </c>
      <c r="G96" s="3">
        <f t="shared" si="52"/>
        <v>2.35</v>
      </c>
      <c r="H96" s="3">
        <f t="shared" si="53"/>
        <v>0.23412067934121802</v>
      </c>
      <c r="I96" s="2">
        <f t="shared" si="54"/>
        <v>7.184471572421451</v>
      </c>
      <c r="J96" s="3">
        <f t="shared" si="55"/>
        <v>5.1509225993284371</v>
      </c>
      <c r="K96" s="3">
        <f t="shared" si="56"/>
        <v>12.335394171749888</v>
      </c>
      <c r="L96" s="10">
        <f t="shared" si="57"/>
        <v>1.3947931528534601</v>
      </c>
      <c r="M96" s="2">
        <f t="shared" ref="M96:N96" si="75">AVERAGE(I96:I97)</f>
        <v>7.2901255661335309</v>
      </c>
      <c r="N96" s="2">
        <f t="shared" si="75"/>
        <v>4.91404100804455</v>
      </c>
      <c r="O96" s="3"/>
      <c r="P96" s="16"/>
      <c r="Q96" s="3"/>
      <c r="R96" s="3"/>
    </row>
    <row r="97" spans="1:18" customFormat="1" x14ac:dyDescent="0.3">
      <c r="A97" s="1"/>
      <c r="B97" s="3">
        <v>100</v>
      </c>
      <c r="C97" s="3">
        <v>5</v>
      </c>
      <c r="D97" s="3">
        <v>4.05</v>
      </c>
      <c r="E97" s="3">
        <v>2.2999999999999998</v>
      </c>
      <c r="F97" s="3">
        <f t="shared" si="52"/>
        <v>4.05</v>
      </c>
      <c r="G97" s="3">
        <f t="shared" si="52"/>
        <v>2.2999999999999998</v>
      </c>
      <c r="H97" s="3">
        <f t="shared" si="53"/>
        <v>0.23412067934121802</v>
      </c>
      <c r="I97" s="2">
        <f t="shared" si="54"/>
        <v>7.3957795598456118</v>
      </c>
      <c r="J97" s="3">
        <f t="shared" si="55"/>
        <v>4.6771594167606629</v>
      </c>
      <c r="K97" s="3">
        <f t="shared" si="56"/>
        <v>12.072938976606274</v>
      </c>
      <c r="L97" s="10">
        <f t="shared" si="57"/>
        <v>1.5812545395272903</v>
      </c>
      <c r="M97" s="2"/>
      <c r="N97" s="2"/>
      <c r="O97" s="3"/>
      <c r="P97" s="16"/>
      <c r="Q97" s="3"/>
      <c r="R97" s="3"/>
    </row>
    <row r="98" spans="1:18" customFormat="1" x14ac:dyDescent="0.3">
      <c r="A98" s="1">
        <v>500938</v>
      </c>
      <c r="B98" s="3">
        <v>100</v>
      </c>
      <c r="C98" s="3">
        <v>6</v>
      </c>
      <c r="D98" s="3">
        <v>6.55</v>
      </c>
      <c r="E98" s="3">
        <v>3.35</v>
      </c>
      <c r="F98" s="3">
        <f t="shared" si="52"/>
        <v>6.55</v>
      </c>
      <c r="G98" s="3">
        <f t="shared" si="52"/>
        <v>3.35</v>
      </c>
      <c r="H98" s="3">
        <f t="shared" si="53"/>
        <v>6.4908340024585107E-2</v>
      </c>
      <c r="I98" s="2">
        <f t="shared" si="54"/>
        <v>3.7493554483049065</v>
      </c>
      <c r="J98" s="3">
        <f t="shared" si="55"/>
        <v>1.1258250927772404</v>
      </c>
      <c r="K98" s="3">
        <f t="shared" si="56"/>
        <v>4.8751805410821465</v>
      </c>
      <c r="L98" s="10">
        <f t="shared" si="57"/>
        <v>3.3303178907265365</v>
      </c>
      <c r="M98" s="2">
        <f t="shared" ref="M98:N98" si="76">AVERAGE(I98:I99)</f>
        <v>3.866522806064435</v>
      </c>
      <c r="N98" s="2">
        <f t="shared" si="76"/>
        <v>1.1541855123634472</v>
      </c>
      <c r="O98" s="3"/>
      <c r="P98" s="16"/>
      <c r="Q98" s="3"/>
      <c r="R98" s="3"/>
    </row>
    <row r="99" spans="1:18" customFormat="1" x14ac:dyDescent="0.3">
      <c r="A99" s="1"/>
      <c r="B99" s="3">
        <v>100</v>
      </c>
      <c r="C99" s="3">
        <v>6</v>
      </c>
      <c r="D99" s="3">
        <v>6.95</v>
      </c>
      <c r="E99" s="3">
        <v>3.55</v>
      </c>
      <c r="F99" s="3">
        <f t="shared" si="52"/>
        <v>6.95</v>
      </c>
      <c r="G99" s="3">
        <f t="shared" si="52"/>
        <v>3.55</v>
      </c>
      <c r="H99" s="3">
        <f t="shared" si="53"/>
        <v>6.4908340024585107E-2</v>
      </c>
      <c r="I99" s="2">
        <f t="shared" si="54"/>
        <v>3.9836901638239635</v>
      </c>
      <c r="J99" s="3">
        <f t="shared" si="55"/>
        <v>1.1825459319496541</v>
      </c>
      <c r="K99" s="3">
        <f t="shared" si="56"/>
        <v>5.166236095773618</v>
      </c>
      <c r="L99" s="10">
        <f t="shared" si="57"/>
        <v>3.3687403222097978</v>
      </c>
      <c r="M99" s="2"/>
      <c r="N99" s="2"/>
      <c r="O99" s="3"/>
      <c r="P99" s="16"/>
      <c r="Q99" s="3"/>
      <c r="R99" s="3"/>
    </row>
    <row r="100" spans="1:18" customFormat="1" x14ac:dyDescent="0.3">
      <c r="A100" s="1">
        <v>500940</v>
      </c>
      <c r="B100" s="3">
        <v>100</v>
      </c>
      <c r="C100" s="3">
        <v>8</v>
      </c>
      <c r="D100" s="3">
        <v>1.5</v>
      </c>
      <c r="E100" s="3">
        <v>1.05</v>
      </c>
      <c r="F100" s="3">
        <f t="shared" si="52"/>
        <v>1.5</v>
      </c>
      <c r="G100" s="3">
        <f t="shared" si="52"/>
        <v>1.05</v>
      </c>
      <c r="H100" s="3">
        <f t="shared" si="53"/>
        <v>6.7400264700321387E-3</v>
      </c>
      <c r="I100" s="2">
        <f t="shared" si="54"/>
        <v>5.4749511632977151E-2</v>
      </c>
      <c r="J100" s="3">
        <f t="shared" si="55"/>
        <v>0.10392102663943413</v>
      </c>
      <c r="K100" s="3">
        <f t="shared" si="56"/>
        <v>0.15867053827241129</v>
      </c>
      <c r="L100" s="10">
        <f t="shared" si="57"/>
        <v>0.52683767090693623</v>
      </c>
      <c r="M100" s="2">
        <f t="shared" ref="M100:N100" si="77">AVERAGE(I100:I101)</f>
        <v>6.0224462796274872E-2</v>
      </c>
      <c r="N100" s="2">
        <f t="shared" si="77"/>
        <v>9.9201649467909811E-2</v>
      </c>
      <c r="O100" s="3"/>
      <c r="P100" s="16"/>
      <c r="Q100" s="3"/>
      <c r="R100" s="3"/>
    </row>
    <row r="101" spans="1:18" customFormat="1" x14ac:dyDescent="0.3">
      <c r="A101" s="1"/>
      <c r="B101" s="3">
        <v>100</v>
      </c>
      <c r="C101" s="3">
        <v>8</v>
      </c>
      <c r="D101" s="3">
        <v>1.6</v>
      </c>
      <c r="E101" s="3">
        <v>1.06</v>
      </c>
      <c r="F101" s="3">
        <f t="shared" si="52"/>
        <v>1.6</v>
      </c>
      <c r="G101" s="3">
        <f t="shared" si="52"/>
        <v>1.06</v>
      </c>
      <c r="H101" s="3">
        <f t="shared" si="53"/>
        <v>6.7400264700321387E-3</v>
      </c>
      <c r="I101" s="2">
        <f t="shared" si="54"/>
        <v>6.5699413959572586E-2</v>
      </c>
      <c r="J101" s="3">
        <f t="shared" si="55"/>
        <v>9.4482272296385492E-2</v>
      </c>
      <c r="K101" s="3">
        <f t="shared" si="56"/>
        <v>0.16018168625595808</v>
      </c>
      <c r="L101" s="10">
        <f t="shared" si="57"/>
        <v>0.6953623400745198</v>
      </c>
      <c r="M101" s="2"/>
      <c r="N101" s="2"/>
      <c r="O101" s="3"/>
      <c r="P101" s="16"/>
      <c r="Q101" s="3"/>
      <c r="R101" s="3"/>
    </row>
    <row r="102" spans="1:18" customFormat="1" x14ac:dyDescent="0.3">
      <c r="A102" s="1">
        <v>500941</v>
      </c>
      <c r="B102" s="3">
        <v>100</v>
      </c>
      <c r="C102" s="3">
        <v>5</v>
      </c>
      <c r="D102" s="3">
        <v>2.35</v>
      </c>
      <c r="E102" s="3">
        <v>1.45</v>
      </c>
      <c r="F102" s="3">
        <f t="shared" si="52"/>
        <v>2.35</v>
      </c>
      <c r="G102" s="3">
        <f t="shared" si="52"/>
        <v>1.45</v>
      </c>
      <c r="H102" s="3">
        <f t="shared" si="53"/>
        <v>0.23412067934121802</v>
      </c>
      <c r="I102" s="2">
        <f t="shared" si="54"/>
        <v>3.8035437736348872</v>
      </c>
      <c r="J102" s="3">
        <f t="shared" si="55"/>
        <v>3.8076568855299384</v>
      </c>
      <c r="K102" s="3">
        <f t="shared" si="56"/>
        <v>7.611200659164826</v>
      </c>
      <c r="L102" s="10">
        <f t="shared" si="57"/>
        <v>0.99891977874616744</v>
      </c>
      <c r="M102" s="2">
        <f t="shared" ref="M102:N102" si="78">AVERAGE(I102:I103)</f>
        <v>3.4865817924986464</v>
      </c>
      <c r="N102" s="2">
        <f t="shared" si="78"/>
        <v>3.0747980860917208</v>
      </c>
      <c r="O102" s="3"/>
      <c r="P102" s="16"/>
      <c r="Q102" s="3"/>
      <c r="R102" s="3"/>
    </row>
    <row r="103" spans="1:18" customFormat="1" x14ac:dyDescent="0.3">
      <c r="A103" s="1"/>
      <c r="B103" s="3">
        <v>100</v>
      </c>
      <c r="C103" s="3">
        <v>5</v>
      </c>
      <c r="D103" s="3">
        <v>1.8</v>
      </c>
      <c r="E103" s="3">
        <v>1.05</v>
      </c>
      <c r="F103" s="3">
        <f t="shared" si="52"/>
        <v>1.8</v>
      </c>
      <c r="G103" s="3">
        <f t="shared" si="52"/>
        <v>1.05</v>
      </c>
      <c r="H103" s="3">
        <f t="shared" si="53"/>
        <v>0.23412067934121802</v>
      </c>
      <c r="I103" s="2">
        <f t="shared" si="54"/>
        <v>3.1696198113624052</v>
      </c>
      <c r="J103" s="3">
        <f t="shared" si="55"/>
        <v>2.3419392866535027</v>
      </c>
      <c r="K103" s="3">
        <f t="shared" si="56"/>
        <v>5.5115590980159084</v>
      </c>
      <c r="L103" s="10">
        <f t="shared" si="57"/>
        <v>1.3534167300688698</v>
      </c>
      <c r="M103" s="2"/>
      <c r="N103" s="2"/>
      <c r="O103" s="3"/>
      <c r="P103" s="16"/>
      <c r="Q103" s="3"/>
      <c r="R103" s="3"/>
    </row>
    <row r="104" spans="1:18" customFormat="1" x14ac:dyDescent="0.3">
      <c r="A104" s="1">
        <v>500942</v>
      </c>
      <c r="B104" s="3">
        <v>100</v>
      </c>
      <c r="C104" s="3">
        <v>5</v>
      </c>
      <c r="D104" s="3">
        <v>4.3499999999999996</v>
      </c>
      <c r="E104" s="3">
        <v>2.65</v>
      </c>
      <c r="F104" s="3">
        <f t="shared" si="52"/>
        <v>4.3499999999999996</v>
      </c>
      <c r="G104" s="3">
        <f t="shared" si="52"/>
        <v>2.65</v>
      </c>
      <c r="H104" s="3">
        <f t="shared" si="53"/>
        <v>0.23412067934121802</v>
      </c>
      <c r="I104" s="2">
        <f t="shared" si="54"/>
        <v>7.184471572421451</v>
      </c>
      <c r="J104" s="3">
        <f t="shared" si="55"/>
        <v>6.7256537701901253</v>
      </c>
      <c r="K104" s="3">
        <f t="shared" si="56"/>
        <v>13.910125342611575</v>
      </c>
      <c r="L104" s="10">
        <f t="shared" si="57"/>
        <v>1.0682190635897624</v>
      </c>
      <c r="M104" s="2">
        <f t="shared" ref="M104:N104" si="79">AVERAGE(I104:I105)</f>
        <v>7.0788175787093701</v>
      </c>
      <c r="N104" s="2">
        <f t="shared" si="79"/>
        <v>6.3063973736149777</v>
      </c>
      <c r="O104" s="12"/>
      <c r="P104" s="63"/>
      <c r="Q104" s="3"/>
      <c r="R104" s="3"/>
    </row>
    <row r="105" spans="1:18" customFormat="1" x14ac:dyDescent="0.3">
      <c r="A105" s="1"/>
      <c r="B105" s="3">
        <v>100</v>
      </c>
      <c r="C105" s="3">
        <v>5</v>
      </c>
      <c r="D105" s="3">
        <v>4.0999999999999996</v>
      </c>
      <c r="E105" s="3">
        <v>2.4500000000000002</v>
      </c>
      <c r="F105" s="3">
        <f t="shared" si="52"/>
        <v>4.0999999999999996</v>
      </c>
      <c r="G105" s="3">
        <f t="shared" si="52"/>
        <v>2.4500000000000002</v>
      </c>
      <c r="H105" s="3">
        <f t="shared" si="53"/>
        <v>0.23412067934121802</v>
      </c>
      <c r="I105" s="2">
        <f t="shared" si="54"/>
        <v>6.9731635849972893</v>
      </c>
      <c r="J105" s="3">
        <f t="shared" si="55"/>
        <v>5.8871409770398309</v>
      </c>
      <c r="K105" s="3">
        <f t="shared" si="56"/>
        <v>12.86030456203712</v>
      </c>
      <c r="L105" s="10">
        <f t="shared" si="57"/>
        <v>1.1844736880249693</v>
      </c>
      <c r="M105" s="2"/>
      <c r="N105" s="2"/>
      <c r="O105" s="12"/>
      <c r="P105" s="63"/>
      <c r="Q105" s="3"/>
      <c r="R105" s="3"/>
    </row>
    <row r="106" spans="1:18" customFormat="1" x14ac:dyDescent="0.3">
      <c r="A106" s="1">
        <v>500943</v>
      </c>
      <c r="B106" s="3">
        <v>100</v>
      </c>
      <c r="C106" s="3">
        <v>6</v>
      </c>
      <c r="D106" s="3">
        <v>3.05</v>
      </c>
      <c r="E106" s="3">
        <v>1.65</v>
      </c>
      <c r="F106" s="3">
        <f t="shared" si="52"/>
        <v>3.05</v>
      </c>
      <c r="G106" s="3">
        <f t="shared" si="52"/>
        <v>1.65</v>
      </c>
      <c r="H106" s="3">
        <f t="shared" si="53"/>
        <v>6.4908340024585107E-2</v>
      </c>
      <c r="I106" s="2">
        <f t="shared" si="54"/>
        <v>1.6403430086333963</v>
      </c>
      <c r="J106" s="3">
        <f t="shared" si="55"/>
        <v>0.76086531757124232</v>
      </c>
      <c r="K106" s="3">
        <f t="shared" si="56"/>
        <v>2.4012083262046389</v>
      </c>
      <c r="L106" s="10">
        <f t="shared" si="57"/>
        <v>2.1558914182992783</v>
      </c>
      <c r="M106" s="2">
        <f t="shared" ref="M106:N106" si="80">AVERAGE(I106:I107)</f>
        <v>1.8746777241524528</v>
      </c>
      <c r="N106" s="2">
        <f t="shared" si="80"/>
        <v>0.85396810108009125</v>
      </c>
      <c r="O106" s="3"/>
      <c r="P106" s="16"/>
      <c r="Q106" s="12"/>
      <c r="R106" s="3"/>
    </row>
    <row r="107" spans="1:18" customFormat="1" x14ac:dyDescent="0.3">
      <c r="A107" s="1"/>
      <c r="B107" s="3">
        <v>100</v>
      </c>
      <c r="C107" s="3">
        <v>6</v>
      </c>
      <c r="D107" s="3">
        <v>3.9</v>
      </c>
      <c r="E107" s="3">
        <v>2.1</v>
      </c>
      <c r="F107" s="3">
        <f t="shared" si="52"/>
        <v>3.9</v>
      </c>
      <c r="G107" s="3">
        <f t="shared" si="52"/>
        <v>2.1</v>
      </c>
      <c r="H107" s="3">
        <f t="shared" si="53"/>
        <v>6.4908340024585107E-2</v>
      </c>
      <c r="I107" s="2">
        <f t="shared" si="54"/>
        <v>2.1090124396715093</v>
      </c>
      <c r="J107" s="3">
        <f t="shared" si="55"/>
        <v>0.94707088458894018</v>
      </c>
      <c r="K107" s="3">
        <f t="shared" si="56"/>
        <v>3.0560833242604497</v>
      </c>
      <c r="L107" s="10">
        <f t="shared" si="57"/>
        <v>2.2268791850642624</v>
      </c>
      <c r="M107" s="2"/>
      <c r="N107" s="2"/>
      <c r="O107" s="3"/>
      <c r="P107" s="16"/>
      <c r="Q107" s="12"/>
      <c r="R107" s="3"/>
    </row>
    <row r="108" spans="1:18" customFormat="1" x14ac:dyDescent="0.3">
      <c r="A108" s="1">
        <v>500945</v>
      </c>
      <c r="B108" s="3">
        <v>100</v>
      </c>
      <c r="C108" s="3">
        <v>7</v>
      </c>
      <c r="D108" s="3">
        <v>2.9</v>
      </c>
      <c r="E108" s="3">
        <v>2.2999999999999998</v>
      </c>
      <c r="F108" s="3">
        <f t="shared" si="52"/>
        <v>2.9</v>
      </c>
      <c r="G108" s="3">
        <f t="shared" si="52"/>
        <v>2.2999999999999998</v>
      </c>
      <c r="H108" s="3">
        <f t="shared" si="53"/>
        <v>2.0824520395634091E-2</v>
      </c>
      <c r="I108" s="2">
        <f t="shared" si="54"/>
        <v>0.22554457844169312</v>
      </c>
      <c r="J108" s="3">
        <f t="shared" si="55"/>
        <v>0.84831683636806887</v>
      </c>
      <c r="K108" s="3">
        <f t="shared" si="56"/>
        <v>1.073861414809762</v>
      </c>
      <c r="L108" s="10">
        <f t="shared" si="57"/>
        <v>0.26587304267981487</v>
      </c>
      <c r="M108" s="2">
        <f t="shared" ref="M108:N108" si="81">AVERAGE(I108:I109)</f>
        <v>0.44169146611498233</v>
      </c>
      <c r="N108" s="2">
        <f t="shared" si="81"/>
        <v>0.94732492912807953</v>
      </c>
      <c r="O108" s="3"/>
      <c r="P108" s="16"/>
      <c r="Q108" s="12"/>
      <c r="R108" s="3"/>
    </row>
    <row r="109" spans="1:18" customFormat="1" x14ac:dyDescent="0.3">
      <c r="A109" s="1"/>
      <c r="B109" s="3">
        <v>100</v>
      </c>
      <c r="C109" s="3">
        <v>7</v>
      </c>
      <c r="D109" s="3">
        <v>5.4</v>
      </c>
      <c r="E109" s="3">
        <v>3.65</v>
      </c>
      <c r="F109" s="3">
        <f t="shared" si="52"/>
        <v>5.4</v>
      </c>
      <c r="G109" s="3">
        <f t="shared" si="52"/>
        <v>3.65</v>
      </c>
      <c r="H109" s="3">
        <f t="shared" si="53"/>
        <v>2.0824520395634091E-2</v>
      </c>
      <c r="I109" s="2">
        <f t="shared" si="54"/>
        <v>0.6578383537882716</v>
      </c>
      <c r="J109" s="3">
        <f t="shared" si="55"/>
        <v>1.0463330218880902</v>
      </c>
      <c r="K109" s="3">
        <f t="shared" si="56"/>
        <v>1.7041713756763617</v>
      </c>
      <c r="L109" s="10">
        <f t="shared" si="57"/>
        <v>0.62870839400749623</v>
      </c>
      <c r="M109" s="2"/>
      <c r="N109" s="2"/>
      <c r="O109" s="3"/>
      <c r="P109" s="16"/>
      <c r="Q109" s="12"/>
      <c r="R109" s="3"/>
    </row>
    <row r="110" spans="1:18" customFormat="1" x14ac:dyDescent="0.3">
      <c r="A110" s="1">
        <v>500946</v>
      </c>
      <c r="B110" s="3">
        <v>100</v>
      </c>
      <c r="C110" s="3">
        <v>7</v>
      </c>
      <c r="D110" s="3">
        <v>5.4</v>
      </c>
      <c r="E110" s="3">
        <v>3.25</v>
      </c>
      <c r="F110" s="3">
        <f t="shared" si="52"/>
        <v>5.4</v>
      </c>
      <c r="G110" s="3">
        <f t="shared" si="52"/>
        <v>3.25</v>
      </c>
      <c r="H110" s="3">
        <f t="shared" si="53"/>
        <v>2.0824520395634091E-2</v>
      </c>
      <c r="I110" s="2">
        <f t="shared" si="54"/>
        <v>0.80820140608273372</v>
      </c>
      <c r="J110" s="3">
        <f t="shared" si="55"/>
        <v>0.70921146267019153</v>
      </c>
      <c r="K110" s="3">
        <f t="shared" si="56"/>
        <v>1.5174128687529254</v>
      </c>
      <c r="L110" s="10">
        <f t="shared" si="57"/>
        <v>1.1395774724788621</v>
      </c>
      <c r="M110" s="2">
        <f t="shared" ref="M110:N110" si="82">AVERAGE(I110:I111)</f>
        <v>0.72362218916709886</v>
      </c>
      <c r="N110" s="2">
        <f t="shared" si="82"/>
        <v>0.630376986027819</v>
      </c>
      <c r="O110" s="3"/>
      <c r="P110" s="16"/>
      <c r="Q110" s="12"/>
      <c r="R110" s="3"/>
    </row>
    <row r="111" spans="1:18" customFormat="1" x14ac:dyDescent="0.3">
      <c r="A111" s="1"/>
      <c r="B111" s="3">
        <v>100</v>
      </c>
      <c r="C111" s="3">
        <v>7</v>
      </c>
      <c r="D111" s="3">
        <v>4.25</v>
      </c>
      <c r="E111" s="3">
        <v>2.5499999999999998</v>
      </c>
      <c r="F111" s="3">
        <f t="shared" si="52"/>
        <v>4.25</v>
      </c>
      <c r="G111" s="3">
        <f t="shared" si="52"/>
        <v>2.5499999999999998</v>
      </c>
      <c r="H111" s="3">
        <f t="shared" si="53"/>
        <v>2.0824520395634091E-2</v>
      </c>
      <c r="I111" s="2">
        <f t="shared" si="54"/>
        <v>0.63904297225146389</v>
      </c>
      <c r="J111" s="3">
        <f t="shared" si="55"/>
        <v>0.55154250938544636</v>
      </c>
      <c r="K111" s="3">
        <f t="shared" si="56"/>
        <v>1.1905854816369104</v>
      </c>
      <c r="L111" s="10">
        <f t="shared" si="57"/>
        <v>1.15864681575227</v>
      </c>
      <c r="M111" s="2"/>
      <c r="N111" s="2"/>
      <c r="O111" s="3"/>
      <c r="P111" s="16"/>
      <c r="Q111" s="12"/>
      <c r="R111" s="3"/>
    </row>
    <row r="112" spans="1:18" customFormat="1" x14ac:dyDescent="0.3">
      <c r="A112" s="1">
        <v>500947</v>
      </c>
      <c r="B112" s="3">
        <v>100</v>
      </c>
      <c r="C112" s="3">
        <v>5</v>
      </c>
      <c r="D112" s="3">
        <v>3.85</v>
      </c>
      <c r="E112" s="3">
        <v>2</v>
      </c>
      <c r="F112" s="3">
        <f t="shared" si="52"/>
        <v>3.85</v>
      </c>
      <c r="G112" s="3">
        <f t="shared" si="52"/>
        <v>2</v>
      </c>
      <c r="H112" s="3">
        <f t="shared" si="53"/>
        <v>0.23412067934121802</v>
      </c>
      <c r="I112" s="2">
        <f t="shared" si="54"/>
        <v>7.8183955346939342</v>
      </c>
      <c r="J112" s="3">
        <f t="shared" si="55"/>
        <v>2.6798122710506567</v>
      </c>
      <c r="K112" s="3">
        <f t="shared" si="56"/>
        <v>10.498207805744592</v>
      </c>
      <c r="L112" s="10">
        <f t="shared" si="57"/>
        <v>2.9175161331836974</v>
      </c>
      <c r="M112" s="2">
        <f t="shared" ref="M112:N112" si="83">AVERAGE(I112:I113)</f>
        <v>7.0788175787093728</v>
      </c>
      <c r="N112" s="2">
        <f t="shared" si="83"/>
        <v>2.5007970440325655</v>
      </c>
      <c r="O112" s="3"/>
      <c r="P112" s="16"/>
      <c r="Q112" s="12"/>
      <c r="R112" s="3"/>
    </row>
    <row r="113" spans="1:18" customFormat="1" x14ac:dyDescent="0.3">
      <c r="A113" s="1"/>
      <c r="B113" s="3">
        <v>100</v>
      </c>
      <c r="C113" s="3">
        <v>5</v>
      </c>
      <c r="D113" s="3">
        <v>3.15</v>
      </c>
      <c r="E113" s="3">
        <v>1.65</v>
      </c>
      <c r="F113" s="3">
        <f t="shared" si="52"/>
        <v>3.15</v>
      </c>
      <c r="G113" s="3">
        <f t="shared" si="52"/>
        <v>1.65</v>
      </c>
      <c r="H113" s="3">
        <f t="shared" si="53"/>
        <v>0.23412067934121802</v>
      </c>
      <c r="I113" s="2">
        <f t="shared" si="54"/>
        <v>6.3392396227248105</v>
      </c>
      <c r="J113" s="3">
        <f t="shared" si="55"/>
        <v>2.3217818170144748</v>
      </c>
      <c r="K113" s="3">
        <f t="shared" si="56"/>
        <v>8.6610214397392848</v>
      </c>
      <c r="L113" s="10">
        <f t="shared" si="57"/>
        <v>2.730333908324035</v>
      </c>
      <c r="M113" s="2"/>
      <c r="N113" s="2"/>
      <c r="O113" s="3"/>
      <c r="P113" s="16"/>
      <c r="Q113" s="12"/>
      <c r="R113" s="3"/>
    </row>
    <row r="114" spans="1:18" customFormat="1" x14ac:dyDescent="0.3">
      <c r="A114" s="1">
        <v>500948</v>
      </c>
      <c r="B114" s="3">
        <v>100</v>
      </c>
      <c r="C114" s="3">
        <v>5</v>
      </c>
      <c r="D114" s="3">
        <v>3.2</v>
      </c>
      <c r="E114" s="3">
        <v>1.7</v>
      </c>
      <c r="F114" s="3">
        <f t="shared" si="52"/>
        <v>3.2</v>
      </c>
      <c r="G114" s="3">
        <f t="shared" si="52"/>
        <v>1.7</v>
      </c>
      <c r="H114" s="3">
        <f t="shared" si="53"/>
        <v>0.23412067934121802</v>
      </c>
      <c r="I114" s="2">
        <f t="shared" si="54"/>
        <v>6.3392396227248113</v>
      </c>
      <c r="J114" s="3">
        <f t="shared" si="55"/>
        <v>2.5842370121580887</v>
      </c>
      <c r="K114" s="3">
        <f t="shared" si="56"/>
        <v>8.9234766348828991</v>
      </c>
      <c r="L114" s="10">
        <f t="shared" si="57"/>
        <v>2.4530411076462877</v>
      </c>
      <c r="M114" s="2">
        <f t="shared" ref="M114:N114" si="84">AVERAGE(I114:I115)</f>
        <v>6.3392396227248113</v>
      </c>
      <c r="N114" s="2">
        <f t="shared" si="84"/>
        <v>2.5842370121580887</v>
      </c>
      <c r="O114" s="3"/>
      <c r="P114" s="16"/>
      <c r="Q114" s="12"/>
      <c r="R114" s="3"/>
    </row>
    <row r="115" spans="1:18" customFormat="1" x14ac:dyDescent="0.3">
      <c r="A115" s="1"/>
      <c r="B115" s="3">
        <v>100</v>
      </c>
      <c r="C115" s="3">
        <v>5</v>
      </c>
      <c r="D115" s="3">
        <v>3.2</v>
      </c>
      <c r="E115" s="3">
        <v>1.7</v>
      </c>
      <c r="F115" s="3">
        <f t="shared" si="52"/>
        <v>3.2</v>
      </c>
      <c r="G115" s="3">
        <f t="shared" si="52"/>
        <v>1.7</v>
      </c>
      <c r="H115" s="3">
        <f t="shared" si="53"/>
        <v>0.23412067934121802</v>
      </c>
      <c r="I115" s="2">
        <f t="shared" si="54"/>
        <v>6.3392396227248113</v>
      </c>
      <c r="J115" s="3">
        <f t="shared" si="55"/>
        <v>2.5842370121580887</v>
      </c>
      <c r="K115" s="3">
        <f t="shared" si="56"/>
        <v>8.9234766348828991</v>
      </c>
      <c r="L115" s="10">
        <f t="shared" si="57"/>
        <v>2.4530411076462877</v>
      </c>
      <c r="M115" s="2"/>
      <c r="N115" s="2"/>
      <c r="O115" s="3"/>
      <c r="P115" s="16"/>
      <c r="Q115" s="12"/>
      <c r="R115" s="3"/>
    </row>
    <row r="116" spans="1:18" customFormat="1" x14ac:dyDescent="0.3">
      <c r="A116" s="1">
        <v>500950</v>
      </c>
      <c r="B116" s="3">
        <v>100</v>
      </c>
      <c r="C116" s="3">
        <v>8</v>
      </c>
      <c r="D116" s="3">
        <v>2.35</v>
      </c>
      <c r="E116" s="3">
        <v>1.65</v>
      </c>
      <c r="F116" s="3">
        <f t="shared" si="52"/>
        <v>2.35</v>
      </c>
      <c r="G116" s="3">
        <f t="shared" si="52"/>
        <v>1.65</v>
      </c>
      <c r="H116" s="3">
        <f t="shared" si="53"/>
        <v>6.7400264700321387E-3</v>
      </c>
      <c r="I116" s="2">
        <f t="shared" si="54"/>
        <v>8.5165906984631154E-2</v>
      </c>
      <c r="J116" s="3">
        <f t="shared" si="55"/>
        <v>0.16417351030058658</v>
      </c>
      <c r="K116" s="3">
        <f t="shared" si="56"/>
        <v>0.24933941728521775</v>
      </c>
      <c r="L116" s="10">
        <f t="shared" si="57"/>
        <v>0.5187554729669861</v>
      </c>
      <c r="M116" s="2">
        <f t="shared" ref="M116:N116" si="85">AVERAGE(I116:I117)</f>
        <v>7.9082627914300346E-2</v>
      </c>
      <c r="N116" s="2">
        <f t="shared" si="85"/>
        <v>0.15514530953544967</v>
      </c>
      <c r="O116" s="3"/>
      <c r="P116" s="16"/>
      <c r="Q116" s="12"/>
      <c r="R116" s="3"/>
    </row>
    <row r="117" spans="1:18" customFormat="1" x14ac:dyDescent="0.3">
      <c r="A117" s="1"/>
      <c r="B117" s="3">
        <v>100</v>
      </c>
      <c r="C117" s="3">
        <v>8</v>
      </c>
      <c r="D117" s="3">
        <v>2.0499999999999998</v>
      </c>
      <c r="E117" s="3">
        <v>1.45</v>
      </c>
      <c r="F117" s="3">
        <f t="shared" si="52"/>
        <v>2.0499999999999998</v>
      </c>
      <c r="G117" s="3">
        <f t="shared" si="52"/>
        <v>1.45</v>
      </c>
      <c r="H117" s="3">
        <f t="shared" si="53"/>
        <v>6.7400264700321387E-3</v>
      </c>
      <c r="I117" s="2">
        <f t="shared" si="54"/>
        <v>7.2999348843969539E-2</v>
      </c>
      <c r="J117" s="3">
        <f t="shared" si="55"/>
        <v>0.14611710877031275</v>
      </c>
      <c r="K117" s="3">
        <f t="shared" si="56"/>
        <v>0.21911645761428228</v>
      </c>
      <c r="L117" s="10">
        <f t="shared" si="57"/>
        <v>0.49959480760545361</v>
      </c>
      <c r="M117" s="2"/>
      <c r="N117" s="2"/>
      <c r="O117" s="3"/>
      <c r="P117" s="16"/>
      <c r="Q117" s="12"/>
      <c r="R117" s="3"/>
    </row>
    <row r="118" spans="1:18" customFormat="1" x14ac:dyDescent="0.3">
      <c r="A118" s="1">
        <v>500951</v>
      </c>
      <c r="B118" s="3">
        <v>100</v>
      </c>
      <c r="C118" s="3">
        <v>5</v>
      </c>
      <c r="D118" s="3">
        <v>2.0499999999999998</v>
      </c>
      <c r="E118" s="3">
        <v>1.05</v>
      </c>
      <c r="F118" s="3">
        <f t="shared" si="52"/>
        <v>2.0499999999999998</v>
      </c>
      <c r="G118" s="3">
        <f t="shared" si="52"/>
        <v>1.05</v>
      </c>
      <c r="H118" s="3">
        <f t="shared" si="53"/>
        <v>0.23412067934121802</v>
      </c>
      <c r="I118" s="2">
        <f t="shared" si="54"/>
        <v>4.2261597484832061</v>
      </c>
      <c r="J118" s="3">
        <f t="shared" si="55"/>
        <v>1.2853993495327038</v>
      </c>
      <c r="K118" s="3">
        <f t="shared" si="56"/>
        <v>5.5115590980159102</v>
      </c>
      <c r="L118" s="10">
        <f t="shared" si="57"/>
        <v>3.2878184900432625</v>
      </c>
      <c r="M118" s="2">
        <f t="shared" ref="M118:N118" si="86">AVERAGE(I118:I119)</f>
        <v>4.226159748483207</v>
      </c>
      <c r="N118" s="2">
        <f t="shared" si="86"/>
        <v>1.1541717519608961</v>
      </c>
      <c r="O118" s="3"/>
      <c r="P118" s="16"/>
      <c r="Q118" s="12"/>
      <c r="R118" s="3"/>
    </row>
    <row r="119" spans="1:18" customFormat="1" x14ac:dyDescent="0.3">
      <c r="A119" s="1"/>
      <c r="B119" s="3">
        <v>100</v>
      </c>
      <c r="C119" s="3">
        <v>5</v>
      </c>
      <c r="D119" s="3">
        <v>2</v>
      </c>
      <c r="E119" s="3">
        <v>1</v>
      </c>
      <c r="F119" s="3">
        <f t="shared" si="52"/>
        <v>2</v>
      </c>
      <c r="G119" s="3">
        <f t="shared" si="52"/>
        <v>1</v>
      </c>
      <c r="H119" s="3">
        <f t="shared" si="53"/>
        <v>0.23412067934121802</v>
      </c>
      <c r="I119" s="2">
        <f t="shared" si="54"/>
        <v>4.226159748483207</v>
      </c>
      <c r="J119" s="3">
        <f t="shared" si="55"/>
        <v>1.022944154389088</v>
      </c>
      <c r="K119" s="3">
        <f t="shared" si="56"/>
        <v>5.249103902872295</v>
      </c>
      <c r="L119" s="10">
        <f t="shared" si="57"/>
        <v>4.1313689807505769</v>
      </c>
      <c r="M119" s="2"/>
      <c r="N119" s="2"/>
      <c r="O119" s="3"/>
      <c r="P119" s="16"/>
      <c r="Q119" s="12"/>
      <c r="R119" s="3"/>
    </row>
    <row r="120" spans="1:18" customFormat="1" x14ac:dyDescent="0.3">
      <c r="A120" s="1">
        <v>500952</v>
      </c>
      <c r="B120" s="3">
        <v>100</v>
      </c>
      <c r="C120" s="3">
        <v>5</v>
      </c>
      <c r="D120" s="3">
        <v>4.2</v>
      </c>
      <c r="E120" s="3">
        <v>2.15</v>
      </c>
      <c r="F120" s="3">
        <f t="shared" si="52"/>
        <v>4.2</v>
      </c>
      <c r="G120" s="3">
        <f t="shared" si="52"/>
        <v>2.15</v>
      </c>
      <c r="H120" s="3">
        <f t="shared" si="53"/>
        <v>0.23412067934121802</v>
      </c>
      <c r="I120" s="2">
        <f t="shared" si="54"/>
        <v>8.6636274843905756</v>
      </c>
      <c r="J120" s="3">
        <f t="shared" si="55"/>
        <v>2.6219459067848585</v>
      </c>
      <c r="K120" s="3">
        <f t="shared" si="56"/>
        <v>11.285573391175435</v>
      </c>
      <c r="L120" s="10">
        <f t="shared" si="57"/>
        <v>3.3042739218881461</v>
      </c>
      <c r="M120" s="2">
        <f t="shared" ref="M120:N120" si="87">AVERAGE(I120:I121)</f>
        <v>8.9805894655268155</v>
      </c>
      <c r="N120" s="2">
        <f t="shared" si="87"/>
        <v>2.4362115232204262</v>
      </c>
      <c r="O120" s="3"/>
      <c r="P120" s="16"/>
      <c r="Q120" s="12"/>
      <c r="R120" s="3"/>
    </row>
    <row r="121" spans="1:18" customFormat="1" x14ac:dyDescent="0.3">
      <c r="A121" s="1"/>
      <c r="B121" s="3">
        <v>100</v>
      </c>
      <c r="C121" s="3">
        <v>5</v>
      </c>
      <c r="D121" s="3">
        <v>4.4000000000000004</v>
      </c>
      <c r="E121" s="3">
        <v>2.2000000000000002</v>
      </c>
      <c r="F121" s="3">
        <f t="shared" si="52"/>
        <v>4.4000000000000004</v>
      </c>
      <c r="G121" s="3">
        <f t="shared" si="52"/>
        <v>2.2000000000000002</v>
      </c>
      <c r="H121" s="3">
        <f t="shared" si="53"/>
        <v>0.23412067934121802</v>
      </c>
      <c r="I121" s="2">
        <f t="shared" si="54"/>
        <v>9.2975514466630553</v>
      </c>
      <c r="J121" s="3">
        <f t="shared" si="55"/>
        <v>2.2504771396559939</v>
      </c>
      <c r="K121" s="3">
        <f t="shared" si="56"/>
        <v>11.548028586319049</v>
      </c>
      <c r="L121" s="10">
        <f t="shared" si="57"/>
        <v>4.131368980750576</v>
      </c>
      <c r="M121" s="2"/>
      <c r="N121" s="2"/>
      <c r="O121" s="3"/>
      <c r="P121" s="16"/>
      <c r="Q121" s="12"/>
      <c r="R121" s="3"/>
    </row>
    <row r="122" spans="1:18" customFormat="1" x14ac:dyDescent="0.3">
      <c r="A122" s="1">
        <v>500953</v>
      </c>
      <c r="B122" s="3">
        <v>100</v>
      </c>
      <c r="C122" s="3">
        <v>5</v>
      </c>
      <c r="D122" s="3">
        <v>1.9</v>
      </c>
      <c r="E122" s="3">
        <v>1</v>
      </c>
      <c r="F122" s="3">
        <f t="shared" si="52"/>
        <v>1.9</v>
      </c>
      <c r="G122" s="3">
        <f t="shared" si="52"/>
        <v>1</v>
      </c>
      <c r="H122" s="3">
        <f t="shared" si="53"/>
        <v>0.23412067934121802</v>
      </c>
      <c r="I122" s="2">
        <f t="shared" si="54"/>
        <v>3.8035437736348858</v>
      </c>
      <c r="J122" s="3">
        <f t="shared" si="55"/>
        <v>1.4455601292374083</v>
      </c>
      <c r="K122" s="3">
        <f t="shared" si="56"/>
        <v>5.2491039028722941</v>
      </c>
      <c r="L122" s="10">
        <f t="shared" si="57"/>
        <v>2.6311902885986553</v>
      </c>
      <c r="M122" s="2">
        <f t="shared" ref="M122:N122" si="88">AVERAGE(I122:I123)</f>
        <v>3.5922357862107259</v>
      </c>
      <c r="N122" s="2">
        <f t="shared" si="88"/>
        <v>1.5256405190897611</v>
      </c>
      <c r="O122" s="12"/>
      <c r="P122" s="16"/>
      <c r="Q122" s="12"/>
      <c r="R122" s="3"/>
    </row>
    <row r="123" spans="1:18" customFormat="1" x14ac:dyDescent="0.3">
      <c r="A123" s="1"/>
      <c r="B123" s="3">
        <v>100</v>
      </c>
      <c r="C123" s="3">
        <v>5</v>
      </c>
      <c r="D123" s="3">
        <v>1.75</v>
      </c>
      <c r="E123" s="3">
        <v>0.95</v>
      </c>
      <c r="F123" s="3">
        <f t="shared" si="52"/>
        <v>1.75</v>
      </c>
      <c r="G123" s="3">
        <f t="shared" si="52"/>
        <v>0.95</v>
      </c>
      <c r="H123" s="3">
        <f t="shared" si="53"/>
        <v>0.23412067934121802</v>
      </c>
      <c r="I123" s="2">
        <f t="shared" si="54"/>
        <v>3.380927798786566</v>
      </c>
      <c r="J123" s="3">
        <f t="shared" si="55"/>
        <v>1.6057209089421136</v>
      </c>
      <c r="K123" s="3">
        <f t="shared" si="56"/>
        <v>4.9866487077286799</v>
      </c>
      <c r="L123" s="10">
        <f t="shared" si="57"/>
        <v>2.105551332089211</v>
      </c>
      <c r="M123" s="2"/>
      <c r="N123" s="2"/>
      <c r="O123" s="12"/>
      <c r="P123" s="16"/>
      <c r="Q123" s="12"/>
      <c r="R123" s="3"/>
    </row>
    <row r="124" spans="1:18" x14ac:dyDescent="0.3">
      <c r="I124" s="40"/>
      <c r="L124" s="46"/>
      <c r="M124" s="40"/>
      <c r="N124" s="40"/>
    </row>
    <row r="125" spans="1:18" x14ac:dyDescent="0.3">
      <c r="I125" s="40"/>
      <c r="L125" s="46"/>
      <c r="M125" s="40"/>
      <c r="N125" s="40"/>
    </row>
    <row r="126" spans="1:18" x14ac:dyDescent="0.3">
      <c r="I126" s="40"/>
      <c r="L126" s="46"/>
      <c r="M126" s="40"/>
      <c r="N126" s="40"/>
    </row>
    <row r="127" spans="1:18" x14ac:dyDescent="0.3">
      <c r="I127" s="40"/>
      <c r="L127" s="46"/>
      <c r="M127" s="40"/>
      <c r="N127" s="40"/>
    </row>
    <row r="128" spans="1:18" x14ac:dyDescent="0.3">
      <c r="I128" s="40"/>
      <c r="L128" s="46"/>
      <c r="M128" s="40"/>
      <c r="N128" s="40"/>
    </row>
    <row r="129" spans="9:15" x14ac:dyDescent="0.3">
      <c r="I129" s="40"/>
      <c r="L129" s="46"/>
      <c r="M129" s="40"/>
      <c r="N129" s="40"/>
    </row>
    <row r="130" spans="9:15" x14ac:dyDescent="0.3">
      <c r="I130" s="40"/>
      <c r="L130" s="46"/>
      <c r="M130" s="40"/>
      <c r="N130" s="40"/>
      <c r="O130" s="42"/>
    </row>
    <row r="131" spans="9:15" x14ac:dyDescent="0.3">
      <c r="I131" s="40"/>
      <c r="L131" s="46"/>
      <c r="M131" s="40"/>
      <c r="N131" s="40"/>
      <c r="O131" s="42"/>
    </row>
    <row r="132" spans="9:15" x14ac:dyDescent="0.3">
      <c r="I132" s="40"/>
      <c r="L132" s="46"/>
      <c r="M132" s="40"/>
      <c r="N132" s="40"/>
    </row>
    <row r="133" spans="9:15" x14ac:dyDescent="0.3">
      <c r="I133" s="40"/>
      <c r="L133" s="46"/>
      <c r="M133" s="40"/>
      <c r="N133" s="40"/>
    </row>
    <row r="134" spans="9:15" x14ac:dyDescent="0.3">
      <c r="I134" s="40"/>
      <c r="L134" s="46"/>
      <c r="M134" s="40"/>
      <c r="N134" s="40"/>
    </row>
    <row r="135" spans="9:15" x14ac:dyDescent="0.3">
      <c r="I135" s="40"/>
      <c r="L135" s="46"/>
      <c r="M135" s="40"/>
      <c r="N135" s="40"/>
    </row>
    <row r="136" spans="9:15" x14ac:dyDescent="0.3">
      <c r="I136" s="40"/>
      <c r="L136" s="46"/>
      <c r="M136" s="40"/>
      <c r="N136" s="40"/>
    </row>
    <row r="137" spans="9:15" x14ac:dyDescent="0.3">
      <c r="I137" s="40"/>
      <c r="L137" s="46"/>
      <c r="M137" s="40"/>
      <c r="N137" s="40"/>
    </row>
    <row r="138" spans="9:15" x14ac:dyDescent="0.3">
      <c r="I138" s="40"/>
      <c r="L138" s="46"/>
      <c r="M138" s="40"/>
      <c r="N138" s="40"/>
    </row>
    <row r="139" spans="9:15" x14ac:dyDescent="0.3">
      <c r="I139" s="40"/>
      <c r="L139" s="46"/>
      <c r="M139" s="40"/>
      <c r="N139" s="40"/>
    </row>
    <row r="140" spans="9:15" x14ac:dyDescent="0.3">
      <c r="I140" s="40"/>
      <c r="L140" s="46"/>
      <c r="M140" s="40"/>
      <c r="N140" s="40"/>
    </row>
    <row r="141" spans="9:15" x14ac:dyDescent="0.3">
      <c r="I141" s="40"/>
      <c r="L141" s="46"/>
      <c r="M141" s="40"/>
      <c r="N141" s="40"/>
    </row>
    <row r="142" spans="9:15" x14ac:dyDescent="0.3">
      <c r="I142" s="40"/>
      <c r="L142" s="46"/>
      <c r="M142" s="40"/>
      <c r="N142" s="40"/>
    </row>
    <row r="143" spans="9:15" x14ac:dyDescent="0.3">
      <c r="I143" s="40"/>
      <c r="L143" s="46"/>
      <c r="M143" s="40"/>
      <c r="N143" s="40"/>
    </row>
    <row r="144" spans="9:15" x14ac:dyDescent="0.3">
      <c r="I144" s="40"/>
      <c r="L144" s="46"/>
      <c r="M144" s="40"/>
      <c r="N144" s="40"/>
    </row>
    <row r="145" spans="9:15" x14ac:dyDescent="0.3">
      <c r="I145" s="40"/>
      <c r="L145" s="46"/>
      <c r="M145" s="40"/>
      <c r="N145" s="40"/>
    </row>
    <row r="146" spans="9:15" x14ac:dyDescent="0.3">
      <c r="I146" s="40"/>
      <c r="L146" s="46"/>
      <c r="M146" s="40"/>
      <c r="N146" s="40"/>
      <c r="O146" s="42"/>
    </row>
    <row r="147" spans="9:15" x14ac:dyDescent="0.3">
      <c r="I147" s="40"/>
      <c r="L147" s="46"/>
      <c r="M147" s="40"/>
      <c r="N147" s="40"/>
      <c r="O147" s="42"/>
    </row>
    <row r="148" spans="9:15" x14ac:dyDescent="0.3">
      <c r="I148" s="40"/>
      <c r="L148" s="46"/>
      <c r="M148" s="40"/>
      <c r="N148" s="40"/>
    </row>
    <row r="149" spans="9:15" x14ac:dyDescent="0.3">
      <c r="I149" s="40"/>
      <c r="L149" s="46"/>
      <c r="M149" s="40"/>
      <c r="N149" s="40"/>
    </row>
    <row r="150" spans="9:15" x14ac:dyDescent="0.3">
      <c r="I150" s="40"/>
      <c r="L150" s="46"/>
      <c r="M150" s="40"/>
      <c r="N150" s="40"/>
    </row>
    <row r="151" spans="9:15" x14ac:dyDescent="0.3">
      <c r="I151" s="40"/>
      <c r="L151" s="46"/>
      <c r="M151" s="40"/>
      <c r="N151" s="40"/>
    </row>
    <row r="152" spans="9:15" x14ac:dyDescent="0.3">
      <c r="I152" s="40"/>
      <c r="L152" s="46"/>
      <c r="M152" s="40"/>
      <c r="N152" s="40"/>
    </row>
    <row r="153" spans="9:15" x14ac:dyDescent="0.3">
      <c r="I153" s="40"/>
      <c r="L153" s="46"/>
      <c r="M153" s="40"/>
      <c r="N153" s="40"/>
    </row>
    <row r="154" spans="9:15" x14ac:dyDescent="0.3">
      <c r="I154" s="40"/>
      <c r="L154" s="46"/>
      <c r="M154" s="40"/>
      <c r="N154" s="40"/>
    </row>
    <row r="155" spans="9:15" x14ac:dyDescent="0.3">
      <c r="I155" s="40"/>
      <c r="L155" s="46"/>
      <c r="M155" s="40"/>
      <c r="N155" s="40"/>
    </row>
    <row r="156" spans="9:15" x14ac:dyDescent="0.3">
      <c r="I156" s="40"/>
      <c r="L156" s="46"/>
      <c r="M156" s="40"/>
      <c r="N156" s="40"/>
    </row>
    <row r="157" spans="9:15" x14ac:dyDescent="0.3">
      <c r="I157" s="40"/>
      <c r="L157" s="46"/>
      <c r="M157" s="40"/>
      <c r="N157" s="40"/>
    </row>
    <row r="158" spans="9:15" x14ac:dyDescent="0.3">
      <c r="I158" s="40"/>
      <c r="L158" s="46"/>
      <c r="M158" s="40"/>
      <c r="N158" s="40"/>
    </row>
    <row r="159" spans="9:15" x14ac:dyDescent="0.3">
      <c r="I159" s="40"/>
      <c r="L159" s="46"/>
      <c r="M159" s="40"/>
      <c r="N159" s="40"/>
    </row>
    <row r="160" spans="9:15" x14ac:dyDescent="0.3">
      <c r="I160" s="40"/>
      <c r="L160" s="46"/>
      <c r="M160" s="40"/>
      <c r="N160" s="40"/>
    </row>
    <row r="161" spans="9:15" x14ac:dyDescent="0.3">
      <c r="I161" s="40"/>
      <c r="L161" s="46"/>
      <c r="M161" s="40"/>
      <c r="N161" s="40"/>
    </row>
    <row r="162" spans="9:15" x14ac:dyDescent="0.3">
      <c r="I162" s="40"/>
      <c r="L162" s="46"/>
      <c r="M162" s="40"/>
      <c r="N162" s="40"/>
      <c r="O162" s="42"/>
    </row>
    <row r="163" spans="9:15" x14ac:dyDescent="0.3">
      <c r="I163" s="40"/>
      <c r="L163" s="46"/>
      <c r="M163" s="40"/>
      <c r="N163" s="40"/>
      <c r="O163" s="42"/>
    </row>
    <row r="164" spans="9:15" x14ac:dyDescent="0.3">
      <c r="I164" s="40"/>
      <c r="L164" s="46"/>
      <c r="M164" s="40"/>
      <c r="N164" s="40"/>
    </row>
    <row r="165" spans="9:15" x14ac:dyDescent="0.3">
      <c r="I165" s="40"/>
      <c r="L165" s="46"/>
      <c r="M165" s="40"/>
      <c r="N165" s="40"/>
    </row>
    <row r="166" spans="9:15" x14ac:dyDescent="0.3">
      <c r="I166" s="40"/>
      <c r="L166" s="46"/>
      <c r="M166" s="40"/>
      <c r="N166" s="40"/>
    </row>
    <row r="167" spans="9:15" x14ac:dyDescent="0.3">
      <c r="I167" s="40"/>
      <c r="L167" s="46"/>
      <c r="M167" s="40"/>
      <c r="N167" s="40"/>
    </row>
    <row r="168" spans="9:15" x14ac:dyDescent="0.3">
      <c r="I168" s="40"/>
      <c r="L168" s="46"/>
      <c r="M168" s="40"/>
      <c r="N168" s="40"/>
    </row>
    <row r="169" spans="9:15" x14ac:dyDescent="0.3">
      <c r="I169" s="40"/>
      <c r="L169" s="46"/>
      <c r="M169" s="40"/>
      <c r="N169" s="40"/>
    </row>
    <row r="170" spans="9:15" x14ac:dyDescent="0.3">
      <c r="I170" s="40"/>
      <c r="L170" s="46"/>
      <c r="M170" s="40"/>
      <c r="N170" s="40"/>
    </row>
    <row r="171" spans="9:15" x14ac:dyDescent="0.3">
      <c r="I171" s="40"/>
      <c r="L171" s="46"/>
      <c r="M171" s="40"/>
      <c r="N171" s="40"/>
    </row>
    <row r="172" spans="9:15" x14ac:dyDescent="0.3">
      <c r="I172" s="40"/>
      <c r="L172" s="46"/>
      <c r="M172" s="40"/>
      <c r="N172" s="40"/>
    </row>
    <row r="173" spans="9:15" x14ac:dyDescent="0.3">
      <c r="I173" s="40"/>
      <c r="L173" s="46"/>
      <c r="M173" s="40"/>
      <c r="N173" s="40"/>
    </row>
    <row r="174" spans="9:15" x14ac:dyDescent="0.3">
      <c r="I174" s="40"/>
      <c r="L174" s="46"/>
      <c r="M174" s="40"/>
      <c r="N174" s="40"/>
    </row>
    <row r="175" spans="9:15" x14ac:dyDescent="0.3">
      <c r="I175" s="40"/>
      <c r="L175" s="46"/>
      <c r="M175" s="40"/>
      <c r="N175" s="40"/>
    </row>
    <row r="176" spans="9:15" x14ac:dyDescent="0.3">
      <c r="I176" s="40"/>
      <c r="L176" s="46"/>
      <c r="M176" s="40"/>
      <c r="N176" s="40"/>
    </row>
    <row r="177" spans="9:14" x14ac:dyDescent="0.3">
      <c r="I177" s="40"/>
      <c r="L177" s="46"/>
      <c r="M177" s="40"/>
      <c r="N177" s="40"/>
    </row>
    <row r="178" spans="9:14" x14ac:dyDescent="0.3">
      <c r="I178" s="40"/>
      <c r="L178" s="46"/>
      <c r="M178" s="40"/>
      <c r="N178" s="40"/>
    </row>
    <row r="179" spans="9:14" x14ac:dyDescent="0.3">
      <c r="I179" s="40"/>
      <c r="L179" s="46"/>
      <c r="M179" s="40"/>
      <c r="N179" s="40"/>
    </row>
    <row r="180" spans="9:14" x14ac:dyDescent="0.3">
      <c r="I180" s="40"/>
      <c r="L180" s="46"/>
      <c r="M180" s="40"/>
      <c r="N180" s="40"/>
    </row>
    <row r="181" spans="9:14" x14ac:dyDescent="0.3">
      <c r="I181" s="40"/>
      <c r="L181" s="46"/>
      <c r="M181" s="40"/>
      <c r="N181" s="40"/>
    </row>
    <row r="182" spans="9:14" x14ac:dyDescent="0.3">
      <c r="I182" s="40"/>
      <c r="L182" s="46"/>
      <c r="M182" s="40"/>
      <c r="N182" s="40"/>
    </row>
    <row r="183" spans="9:14" x14ac:dyDescent="0.3">
      <c r="I183" s="40"/>
      <c r="L183" s="46"/>
      <c r="M183" s="40"/>
      <c r="N183" s="40"/>
    </row>
    <row r="184" spans="9:14" x14ac:dyDescent="0.3">
      <c r="I184" s="40"/>
      <c r="L184" s="46"/>
      <c r="M184" s="40"/>
      <c r="N184" s="40"/>
    </row>
    <row r="185" spans="9:14" x14ac:dyDescent="0.3">
      <c r="I185" s="40"/>
      <c r="L185" s="46"/>
      <c r="M185" s="40"/>
      <c r="N185" s="40"/>
    </row>
    <row r="186" spans="9:14" x14ac:dyDescent="0.3">
      <c r="I186" s="40"/>
      <c r="L186" s="46"/>
      <c r="M186" s="40"/>
      <c r="N186" s="40"/>
    </row>
    <row r="187" spans="9:14" x14ac:dyDescent="0.3">
      <c r="I187" s="40"/>
      <c r="L187" s="46"/>
      <c r="M187" s="40"/>
      <c r="N187" s="40"/>
    </row>
    <row r="188" spans="9:14" x14ac:dyDescent="0.3">
      <c r="I188" s="40"/>
      <c r="L188" s="46"/>
      <c r="M188" s="40"/>
      <c r="N188" s="40"/>
    </row>
    <row r="189" spans="9:14" x14ac:dyDescent="0.3">
      <c r="I189" s="40"/>
      <c r="L189" s="46"/>
      <c r="M189" s="40"/>
      <c r="N189" s="40"/>
    </row>
    <row r="190" spans="9:14" x14ac:dyDescent="0.3">
      <c r="I190" s="40"/>
      <c r="L190" s="46"/>
      <c r="M190" s="40"/>
      <c r="N190" s="40"/>
    </row>
    <row r="191" spans="9:14" x14ac:dyDescent="0.3">
      <c r="I191" s="40"/>
      <c r="L191" s="46"/>
      <c r="M191" s="40"/>
      <c r="N191" s="40"/>
    </row>
    <row r="192" spans="9:14" x14ac:dyDescent="0.3">
      <c r="I192" s="40"/>
      <c r="L192" s="46"/>
      <c r="M192" s="40"/>
      <c r="N192" s="40"/>
    </row>
    <row r="193" spans="9:14" x14ac:dyDescent="0.3">
      <c r="I193" s="40"/>
      <c r="L193" s="46"/>
      <c r="M193" s="40"/>
      <c r="N193" s="40"/>
    </row>
    <row r="194" spans="9:14" x14ac:dyDescent="0.3">
      <c r="I194" s="40"/>
      <c r="L194" s="46"/>
      <c r="M194" s="40"/>
      <c r="N194" s="40"/>
    </row>
    <row r="195" spans="9:14" x14ac:dyDescent="0.3">
      <c r="I195" s="40"/>
      <c r="L195" s="46"/>
      <c r="M195" s="40"/>
      <c r="N195" s="40"/>
    </row>
    <row r="196" spans="9:14" x14ac:dyDescent="0.3">
      <c r="I196" s="40"/>
      <c r="L196" s="46"/>
      <c r="M196" s="40"/>
      <c r="N196" s="40"/>
    </row>
    <row r="197" spans="9:14" x14ac:dyDescent="0.3">
      <c r="I197" s="40"/>
      <c r="L197" s="46"/>
      <c r="M197" s="40"/>
      <c r="N197" s="40"/>
    </row>
    <row r="198" spans="9:14" x14ac:dyDescent="0.3">
      <c r="I198" s="40"/>
      <c r="L198" s="46"/>
      <c r="M198" s="40"/>
      <c r="N198" s="40"/>
    </row>
    <row r="199" spans="9:14" x14ac:dyDescent="0.3">
      <c r="I199" s="40"/>
      <c r="L199" s="46"/>
      <c r="M199" s="40"/>
      <c r="N199" s="40"/>
    </row>
    <row r="200" spans="9:14" x14ac:dyDescent="0.3">
      <c r="I200" s="40"/>
      <c r="L200" s="46"/>
      <c r="M200" s="40"/>
      <c r="N200" s="40"/>
    </row>
    <row r="201" spans="9:14" x14ac:dyDescent="0.3">
      <c r="I201" s="40"/>
      <c r="L201" s="46"/>
      <c r="M201" s="40"/>
      <c r="N201" s="40"/>
    </row>
    <row r="202" spans="9:14" x14ac:dyDescent="0.3">
      <c r="I202" s="40"/>
      <c r="L202" s="46"/>
      <c r="M202" s="40"/>
      <c r="N202" s="40"/>
    </row>
    <row r="203" spans="9:14" x14ac:dyDescent="0.3">
      <c r="I203" s="40"/>
      <c r="L203" s="46"/>
      <c r="M203" s="40"/>
      <c r="N203" s="40"/>
    </row>
    <row r="204" spans="9:14" x14ac:dyDescent="0.3">
      <c r="I204" s="40"/>
      <c r="L204" s="46"/>
      <c r="M204" s="40"/>
      <c r="N204" s="40"/>
    </row>
    <row r="205" spans="9:14" x14ac:dyDescent="0.3">
      <c r="I205" s="40"/>
      <c r="L205" s="46"/>
      <c r="M205" s="40"/>
      <c r="N205" s="40"/>
    </row>
    <row r="206" spans="9:14" x14ac:dyDescent="0.3">
      <c r="I206" s="40"/>
      <c r="L206" s="46"/>
      <c r="M206" s="40"/>
      <c r="N206" s="40"/>
    </row>
    <row r="207" spans="9:14" x14ac:dyDescent="0.3">
      <c r="I207" s="40"/>
      <c r="L207" s="46"/>
      <c r="M207" s="40"/>
      <c r="N207" s="40"/>
    </row>
    <row r="208" spans="9:14" x14ac:dyDescent="0.3">
      <c r="I208" s="40"/>
      <c r="L208" s="46"/>
      <c r="M208" s="40"/>
      <c r="N208" s="40"/>
    </row>
    <row r="209" spans="9:14" x14ac:dyDescent="0.3">
      <c r="I209" s="40"/>
      <c r="L209" s="46"/>
      <c r="M209" s="40"/>
      <c r="N209" s="40"/>
    </row>
    <row r="210" spans="9:14" x14ac:dyDescent="0.3">
      <c r="I210" s="40"/>
      <c r="L210" s="46"/>
      <c r="M210" s="40"/>
      <c r="N210" s="40"/>
    </row>
    <row r="211" spans="9:14" x14ac:dyDescent="0.3">
      <c r="I211" s="40"/>
      <c r="L211" s="46"/>
      <c r="M211" s="40"/>
      <c r="N211" s="40"/>
    </row>
    <row r="212" spans="9:14" x14ac:dyDescent="0.3">
      <c r="I212" s="40"/>
      <c r="L212" s="46"/>
      <c r="M212" s="40"/>
      <c r="N212" s="40"/>
    </row>
    <row r="213" spans="9:14" x14ac:dyDescent="0.3">
      <c r="I213" s="40"/>
      <c r="L213" s="46"/>
      <c r="M213" s="40"/>
      <c r="N213" s="40"/>
    </row>
    <row r="214" spans="9:14" x14ac:dyDescent="0.3">
      <c r="I214" s="40"/>
      <c r="L214" s="46"/>
      <c r="M214" s="40"/>
      <c r="N214" s="40"/>
    </row>
    <row r="215" spans="9:14" x14ac:dyDescent="0.3">
      <c r="I215" s="40"/>
      <c r="L215" s="46"/>
      <c r="M215" s="40"/>
      <c r="N215" s="40"/>
    </row>
    <row r="216" spans="9:14" x14ac:dyDescent="0.3">
      <c r="I216" s="40"/>
      <c r="L216" s="46"/>
      <c r="M216" s="40"/>
      <c r="N216" s="40"/>
    </row>
    <row r="217" spans="9:14" x14ac:dyDescent="0.3">
      <c r="I217" s="40"/>
      <c r="L217" s="46"/>
      <c r="M217" s="40"/>
      <c r="N217" s="40"/>
    </row>
    <row r="218" spans="9:14" x14ac:dyDescent="0.3">
      <c r="I218" s="40"/>
      <c r="L218" s="46"/>
      <c r="M218" s="40"/>
      <c r="N218" s="40"/>
    </row>
    <row r="219" spans="9:14" x14ac:dyDescent="0.3">
      <c r="I219" s="40"/>
      <c r="L219" s="46"/>
      <c r="M219" s="40"/>
      <c r="N219" s="40"/>
    </row>
    <row r="220" spans="9:14" x14ac:dyDescent="0.3">
      <c r="I220" s="40"/>
      <c r="L220" s="46"/>
      <c r="M220" s="40"/>
      <c r="N220" s="40"/>
    </row>
    <row r="221" spans="9:14" x14ac:dyDescent="0.3">
      <c r="I221" s="40"/>
      <c r="L221" s="46"/>
      <c r="M221" s="40"/>
      <c r="N221" s="40"/>
    </row>
    <row r="222" spans="9:14" x14ac:dyDescent="0.3">
      <c r="I222" s="40"/>
      <c r="L222" s="46"/>
      <c r="M222" s="40"/>
      <c r="N222" s="40"/>
    </row>
    <row r="223" spans="9:14" x14ac:dyDescent="0.3">
      <c r="I223" s="40"/>
      <c r="L223" s="46"/>
      <c r="M223" s="40"/>
      <c r="N223" s="40"/>
    </row>
    <row r="224" spans="9:14" x14ac:dyDescent="0.3">
      <c r="I224" s="40"/>
      <c r="L224" s="46"/>
      <c r="M224" s="40"/>
      <c r="N224" s="40"/>
    </row>
    <row r="225" spans="9:15" x14ac:dyDescent="0.3">
      <c r="I225" s="40"/>
      <c r="L225" s="46"/>
      <c r="M225" s="40"/>
      <c r="N225" s="40"/>
    </row>
    <row r="226" spans="9:15" x14ac:dyDescent="0.3">
      <c r="I226" s="40"/>
      <c r="L226" s="46"/>
      <c r="M226" s="40"/>
      <c r="N226" s="40"/>
    </row>
    <row r="227" spans="9:15" x14ac:dyDescent="0.3">
      <c r="I227" s="40"/>
      <c r="L227" s="46"/>
      <c r="M227" s="40"/>
      <c r="N227" s="40"/>
    </row>
    <row r="228" spans="9:15" x14ac:dyDescent="0.3">
      <c r="I228" s="40"/>
      <c r="L228" s="46"/>
      <c r="M228" s="40"/>
      <c r="N228" s="40"/>
    </row>
    <row r="229" spans="9:15" x14ac:dyDescent="0.3">
      <c r="I229" s="40"/>
      <c r="L229" s="46"/>
      <c r="M229" s="40"/>
      <c r="N229" s="40"/>
    </row>
    <row r="230" spans="9:15" x14ac:dyDescent="0.3">
      <c r="I230" s="40"/>
      <c r="L230" s="46"/>
      <c r="M230" s="40"/>
      <c r="N230" s="40"/>
    </row>
    <row r="231" spans="9:15" x14ac:dyDescent="0.3">
      <c r="I231" s="40"/>
      <c r="L231" s="46"/>
      <c r="M231" s="40"/>
      <c r="N231" s="40"/>
    </row>
    <row r="232" spans="9:15" x14ac:dyDescent="0.3">
      <c r="I232" s="40"/>
      <c r="L232" s="46"/>
      <c r="M232" s="40"/>
      <c r="N232" s="40"/>
    </row>
    <row r="233" spans="9:15" x14ac:dyDescent="0.3">
      <c r="I233" s="40"/>
      <c r="L233" s="46"/>
      <c r="M233" s="40"/>
      <c r="N233" s="40"/>
    </row>
    <row r="234" spans="9:15" x14ac:dyDescent="0.3">
      <c r="I234" s="40"/>
      <c r="L234" s="46"/>
      <c r="M234" s="40"/>
      <c r="N234" s="40"/>
    </row>
    <row r="235" spans="9:15" x14ac:dyDescent="0.3">
      <c r="I235" s="40"/>
      <c r="L235" s="46"/>
      <c r="M235" s="40"/>
      <c r="N235" s="40"/>
    </row>
    <row r="236" spans="9:15" x14ac:dyDescent="0.3">
      <c r="I236" s="40"/>
      <c r="L236" s="46"/>
      <c r="M236" s="40"/>
      <c r="N236" s="40"/>
    </row>
    <row r="237" spans="9:15" x14ac:dyDescent="0.3">
      <c r="I237" s="40"/>
      <c r="L237" s="46"/>
      <c r="M237" s="40"/>
      <c r="N237" s="40"/>
    </row>
    <row r="238" spans="9:15" x14ac:dyDescent="0.3">
      <c r="I238" s="40"/>
      <c r="L238" s="46"/>
      <c r="M238" s="40"/>
      <c r="N238" s="40"/>
    </row>
    <row r="239" spans="9:15" x14ac:dyDescent="0.3">
      <c r="I239" s="40"/>
      <c r="L239" s="46"/>
      <c r="M239" s="40"/>
      <c r="N239" s="40"/>
    </row>
    <row r="240" spans="9:15" x14ac:dyDescent="0.3">
      <c r="I240" s="40"/>
      <c r="L240" s="46"/>
      <c r="M240" s="40"/>
      <c r="N240" s="40"/>
      <c r="O240" s="59"/>
    </row>
    <row r="241" spans="9:15" x14ac:dyDescent="0.3">
      <c r="I241" s="40"/>
      <c r="L241" s="46"/>
      <c r="M241" s="40"/>
      <c r="N241" s="40"/>
      <c r="O241" s="59"/>
    </row>
    <row r="242" spans="9:15" x14ac:dyDescent="0.3">
      <c r="I242" s="40"/>
      <c r="L242" s="46"/>
      <c r="M242" s="40"/>
      <c r="N242" s="40"/>
    </row>
    <row r="243" spans="9:15" x14ac:dyDescent="0.3">
      <c r="I243" s="40"/>
      <c r="L243" s="46"/>
      <c r="M243" s="40"/>
      <c r="N243" s="40"/>
    </row>
    <row r="244" spans="9:15" x14ac:dyDescent="0.3">
      <c r="I244" s="40"/>
      <c r="L244" s="46"/>
      <c r="M244" s="40"/>
      <c r="N244" s="40"/>
    </row>
    <row r="245" spans="9:15" x14ac:dyDescent="0.3">
      <c r="I245" s="40"/>
      <c r="L245" s="46"/>
      <c r="M245" s="40"/>
      <c r="N245" s="40"/>
    </row>
    <row r="246" spans="9:15" x14ac:dyDescent="0.3">
      <c r="I246" s="40"/>
      <c r="L246" s="46"/>
      <c r="M246" s="40"/>
      <c r="N246" s="40"/>
    </row>
    <row r="247" spans="9:15" x14ac:dyDescent="0.3">
      <c r="I247" s="40"/>
      <c r="L247" s="46"/>
      <c r="M247" s="40"/>
      <c r="N247" s="40"/>
    </row>
    <row r="248" spans="9:15" x14ac:dyDescent="0.3">
      <c r="I248" s="40"/>
      <c r="L248" s="46"/>
      <c r="M248" s="40"/>
      <c r="N248" s="40"/>
    </row>
    <row r="249" spans="9:15" x14ac:dyDescent="0.3">
      <c r="I249" s="40"/>
      <c r="L249" s="46"/>
      <c r="M249" s="40"/>
      <c r="N249" s="40"/>
    </row>
    <row r="250" spans="9:15" x14ac:dyDescent="0.3">
      <c r="I250" s="40"/>
      <c r="L250" s="46"/>
      <c r="M250" s="40"/>
      <c r="N250" s="40"/>
    </row>
    <row r="251" spans="9:15" x14ac:dyDescent="0.3">
      <c r="I251" s="40"/>
      <c r="L251" s="46"/>
      <c r="M251" s="40"/>
      <c r="N251" s="40"/>
    </row>
    <row r="252" spans="9:15" x14ac:dyDescent="0.3">
      <c r="I252" s="40"/>
      <c r="L252" s="46"/>
      <c r="M252" s="40"/>
      <c r="N252" s="40"/>
    </row>
    <row r="253" spans="9:15" x14ac:dyDescent="0.3">
      <c r="I253" s="40"/>
      <c r="L253" s="46"/>
      <c r="M253" s="40"/>
      <c r="N253" s="40"/>
    </row>
    <row r="254" spans="9:15" x14ac:dyDescent="0.3">
      <c r="I254" s="40"/>
      <c r="L254" s="46"/>
      <c r="M254" s="40"/>
      <c r="N254" s="40"/>
    </row>
    <row r="255" spans="9:15" x14ac:dyDescent="0.3">
      <c r="I255" s="40"/>
      <c r="L255" s="46"/>
      <c r="M255" s="40"/>
      <c r="N255" s="40"/>
    </row>
    <row r="256" spans="9:15" x14ac:dyDescent="0.3">
      <c r="I256" s="40"/>
      <c r="L256" s="46"/>
      <c r="M256" s="40"/>
      <c r="N256" s="40"/>
    </row>
    <row r="257" spans="9:14" x14ac:dyDescent="0.3">
      <c r="I257" s="40"/>
      <c r="L257" s="46"/>
      <c r="M257" s="40"/>
      <c r="N257" s="40"/>
    </row>
    <row r="258" spans="9:14" x14ac:dyDescent="0.3">
      <c r="I258" s="40"/>
      <c r="L258" s="46"/>
      <c r="M258" s="40"/>
      <c r="N258" s="40"/>
    </row>
    <row r="259" spans="9:14" x14ac:dyDescent="0.3">
      <c r="I259" s="40"/>
      <c r="L259" s="46"/>
      <c r="M259" s="40"/>
      <c r="N259" s="40"/>
    </row>
    <row r="260" spans="9:14" x14ac:dyDescent="0.3">
      <c r="I260" s="40"/>
      <c r="L260" s="46"/>
      <c r="M260" s="40"/>
      <c r="N260" s="40"/>
    </row>
    <row r="261" spans="9:14" x14ac:dyDescent="0.3">
      <c r="I261" s="40"/>
      <c r="L261" s="46"/>
      <c r="M261" s="40"/>
      <c r="N261" s="40"/>
    </row>
    <row r="262" spans="9:14" x14ac:dyDescent="0.3">
      <c r="I262" s="40"/>
      <c r="L262" s="46"/>
      <c r="M262" s="40"/>
      <c r="N262" s="40"/>
    </row>
    <row r="263" spans="9:14" x14ac:dyDescent="0.3">
      <c r="I263" s="40"/>
      <c r="L263" s="46"/>
      <c r="M263" s="40"/>
      <c r="N263" s="40"/>
    </row>
    <row r="264" spans="9:14" x14ac:dyDescent="0.3">
      <c r="I264" s="40"/>
      <c r="L264" s="46"/>
      <c r="M264" s="40"/>
      <c r="N264" s="40"/>
    </row>
    <row r="265" spans="9:14" x14ac:dyDescent="0.3">
      <c r="I265" s="40"/>
      <c r="L265" s="46"/>
      <c r="M265" s="40"/>
      <c r="N265" s="40"/>
    </row>
    <row r="266" spans="9:14" x14ac:dyDescent="0.3">
      <c r="I266" s="40"/>
      <c r="L266" s="46"/>
      <c r="M266" s="40"/>
      <c r="N266" s="40"/>
    </row>
    <row r="267" spans="9:14" x14ac:dyDescent="0.3">
      <c r="I267" s="40"/>
      <c r="L267" s="46"/>
      <c r="M267" s="40"/>
      <c r="N267" s="40"/>
    </row>
    <row r="268" spans="9:14" x14ac:dyDescent="0.3">
      <c r="I268" s="40"/>
      <c r="L268" s="46"/>
      <c r="M268" s="40"/>
      <c r="N268" s="40"/>
    </row>
    <row r="269" spans="9:14" x14ac:dyDescent="0.3">
      <c r="I269" s="40"/>
      <c r="L269" s="46"/>
      <c r="M269" s="40"/>
      <c r="N269" s="40"/>
    </row>
    <row r="270" spans="9:14" x14ac:dyDescent="0.3">
      <c r="I270" s="40"/>
      <c r="L270" s="46"/>
      <c r="M270" s="40"/>
      <c r="N270" s="40"/>
    </row>
    <row r="271" spans="9:14" x14ac:dyDescent="0.3">
      <c r="I271" s="40"/>
      <c r="L271" s="46"/>
      <c r="M271" s="40"/>
      <c r="N271" s="40"/>
    </row>
    <row r="272" spans="9:14" x14ac:dyDescent="0.3">
      <c r="I272" s="40"/>
      <c r="L272" s="46"/>
      <c r="M272" s="40"/>
      <c r="N272" s="40"/>
    </row>
    <row r="273" spans="9:15" x14ac:dyDescent="0.3">
      <c r="I273" s="40"/>
      <c r="L273" s="46"/>
      <c r="M273" s="40"/>
      <c r="N273" s="40"/>
    </row>
    <row r="274" spans="9:15" x14ac:dyDescent="0.3">
      <c r="I274" s="40"/>
      <c r="L274" s="46"/>
      <c r="M274" s="40"/>
      <c r="N274" s="40"/>
      <c r="O274" s="42"/>
    </row>
    <row r="275" spans="9:15" x14ac:dyDescent="0.3">
      <c r="I275" s="40"/>
      <c r="L275" s="46"/>
      <c r="M275" s="40"/>
      <c r="N275" s="40"/>
      <c r="O275" s="42"/>
    </row>
    <row r="276" spans="9:15" x14ac:dyDescent="0.3">
      <c r="I276" s="40"/>
      <c r="L276" s="46"/>
      <c r="M276" s="40"/>
      <c r="N276" s="40"/>
    </row>
    <row r="277" spans="9:15" x14ac:dyDescent="0.3">
      <c r="I277" s="40"/>
      <c r="L277" s="46"/>
      <c r="M277" s="40"/>
      <c r="N277" s="40"/>
    </row>
    <row r="278" spans="9:15" x14ac:dyDescent="0.3">
      <c r="I278" s="40"/>
      <c r="L278" s="46"/>
      <c r="M278" s="40"/>
      <c r="N278" s="40"/>
    </row>
    <row r="279" spans="9:15" x14ac:dyDescent="0.3">
      <c r="I279" s="40"/>
      <c r="L279" s="46"/>
      <c r="M279" s="40"/>
      <c r="N279" s="40"/>
    </row>
    <row r="280" spans="9:15" x14ac:dyDescent="0.3">
      <c r="I280" s="40"/>
      <c r="L280" s="46"/>
      <c r="M280" s="40"/>
      <c r="N280" s="40"/>
    </row>
    <row r="281" spans="9:15" x14ac:dyDescent="0.3">
      <c r="I281" s="40"/>
      <c r="L281" s="46"/>
      <c r="M281" s="40"/>
      <c r="N281" s="40"/>
    </row>
    <row r="282" spans="9:15" x14ac:dyDescent="0.3">
      <c r="I282" s="40"/>
      <c r="L282" s="46"/>
      <c r="M282" s="40"/>
      <c r="N282" s="40"/>
      <c r="O282" s="60"/>
    </row>
    <row r="283" spans="9:15" x14ac:dyDescent="0.3">
      <c r="I283" s="40"/>
      <c r="L283" s="46"/>
      <c r="M283" s="40"/>
      <c r="N283" s="40"/>
      <c r="O283" s="60"/>
    </row>
    <row r="284" spans="9:15" x14ac:dyDescent="0.3">
      <c r="I284" s="40"/>
      <c r="L284" s="46"/>
      <c r="M284" s="40"/>
      <c r="N284" s="40"/>
    </row>
    <row r="285" spans="9:15" x14ac:dyDescent="0.3">
      <c r="I285" s="40"/>
      <c r="L285" s="46"/>
      <c r="M285" s="40"/>
      <c r="N285" s="40"/>
    </row>
    <row r="286" spans="9:15" x14ac:dyDescent="0.3">
      <c r="I286" s="40"/>
      <c r="L286" s="46"/>
      <c r="M286" s="40"/>
      <c r="N286" s="40"/>
    </row>
    <row r="287" spans="9:15" x14ac:dyDescent="0.3">
      <c r="I287" s="40"/>
      <c r="L287" s="46"/>
      <c r="M287" s="40"/>
      <c r="N287" s="40"/>
    </row>
    <row r="288" spans="9:15" x14ac:dyDescent="0.3">
      <c r="I288" s="40"/>
      <c r="L288" s="46"/>
      <c r="M288" s="40"/>
      <c r="N288" s="40"/>
    </row>
    <row r="289" spans="9:15" x14ac:dyDescent="0.3">
      <c r="I289" s="40"/>
      <c r="L289" s="46"/>
      <c r="M289" s="40"/>
      <c r="N289" s="40"/>
    </row>
    <row r="290" spans="9:15" x14ac:dyDescent="0.3">
      <c r="I290" s="40"/>
      <c r="L290" s="46"/>
      <c r="M290" s="40"/>
      <c r="N290" s="40"/>
      <c r="O290" s="42"/>
    </row>
    <row r="291" spans="9:15" x14ac:dyDescent="0.3">
      <c r="I291" s="40"/>
      <c r="L291" s="46"/>
      <c r="M291" s="40"/>
      <c r="N291" s="40"/>
      <c r="O291" s="42"/>
    </row>
    <row r="292" spans="9:15" x14ac:dyDescent="0.3">
      <c r="I292" s="40"/>
      <c r="L292" s="46"/>
      <c r="M292" s="40"/>
      <c r="N292" s="40"/>
    </row>
    <row r="293" spans="9:15" x14ac:dyDescent="0.3">
      <c r="I293" s="40"/>
      <c r="L293" s="46"/>
      <c r="M293" s="40"/>
      <c r="N293" s="40"/>
    </row>
    <row r="294" spans="9:15" x14ac:dyDescent="0.3">
      <c r="I294" s="40"/>
      <c r="L294" s="46"/>
      <c r="M294" s="40"/>
      <c r="N294" s="40"/>
    </row>
    <row r="295" spans="9:15" x14ac:dyDescent="0.3">
      <c r="I295" s="40"/>
      <c r="L295" s="46"/>
      <c r="M295" s="40"/>
      <c r="N295" s="40"/>
    </row>
    <row r="296" spans="9:15" x14ac:dyDescent="0.3">
      <c r="I296" s="40"/>
      <c r="L296" s="46"/>
      <c r="M296" s="40"/>
      <c r="N296" s="40"/>
    </row>
    <row r="297" spans="9:15" x14ac:dyDescent="0.3">
      <c r="I297" s="40"/>
      <c r="L297" s="46"/>
      <c r="M297" s="40"/>
      <c r="N297" s="40"/>
    </row>
    <row r="298" spans="9:15" x14ac:dyDescent="0.3">
      <c r="I298" s="40"/>
      <c r="L298" s="46"/>
      <c r="M298" s="40"/>
      <c r="N298" s="40"/>
    </row>
    <row r="299" spans="9:15" x14ac:dyDescent="0.3">
      <c r="I299" s="40"/>
      <c r="L299" s="46"/>
      <c r="M299" s="40"/>
      <c r="N299" s="40"/>
    </row>
    <row r="300" spans="9:15" x14ac:dyDescent="0.3">
      <c r="I300" s="40"/>
      <c r="L300" s="46"/>
      <c r="M300" s="40"/>
      <c r="N300" s="40"/>
    </row>
    <row r="301" spans="9:15" x14ac:dyDescent="0.3">
      <c r="I301" s="40"/>
      <c r="L301" s="46"/>
      <c r="M301" s="40"/>
      <c r="N301" s="40"/>
    </row>
    <row r="302" spans="9:15" x14ac:dyDescent="0.3">
      <c r="I302" s="40"/>
      <c r="L302" s="46"/>
      <c r="M302" s="40"/>
      <c r="N302" s="40"/>
    </row>
    <row r="303" spans="9:15" x14ac:dyDescent="0.3">
      <c r="I303" s="40"/>
      <c r="L303" s="46"/>
      <c r="M303" s="40"/>
      <c r="N303" s="40"/>
    </row>
    <row r="304" spans="9:15" x14ac:dyDescent="0.3">
      <c r="I304" s="40"/>
      <c r="L304" s="46"/>
      <c r="M304" s="40"/>
      <c r="N304" s="40"/>
    </row>
    <row r="305" spans="9:18" x14ac:dyDescent="0.3">
      <c r="I305" s="40"/>
      <c r="L305" s="46"/>
      <c r="M305" s="40"/>
      <c r="N305" s="40"/>
    </row>
    <row r="306" spans="9:18" x14ac:dyDescent="0.3">
      <c r="I306" s="40"/>
      <c r="L306" s="46"/>
      <c r="M306" s="40"/>
      <c r="N306" s="40"/>
      <c r="O306" s="42"/>
      <c r="R306" s="42"/>
    </row>
    <row r="307" spans="9:18" x14ac:dyDescent="0.3">
      <c r="I307" s="40"/>
      <c r="L307" s="46"/>
      <c r="M307" s="40"/>
      <c r="N307" s="40"/>
      <c r="O307" s="42"/>
      <c r="R307" s="42"/>
    </row>
    <row r="308" spans="9:18" x14ac:dyDescent="0.3">
      <c r="I308" s="40"/>
      <c r="L308" s="46"/>
      <c r="M308" s="40"/>
      <c r="N308" s="40"/>
    </row>
    <row r="309" spans="9:18" x14ac:dyDescent="0.3">
      <c r="I309" s="40"/>
      <c r="L309" s="46"/>
      <c r="M309" s="40"/>
      <c r="N309" s="40"/>
    </row>
    <row r="310" spans="9:18" x14ac:dyDescent="0.3">
      <c r="I310" s="40"/>
      <c r="L310" s="46"/>
      <c r="M310" s="40"/>
      <c r="N310" s="40"/>
    </row>
    <row r="311" spans="9:18" x14ac:dyDescent="0.3">
      <c r="I311" s="40"/>
      <c r="L311" s="46"/>
      <c r="M311" s="40"/>
      <c r="N311" s="40"/>
    </row>
    <row r="312" spans="9:18" x14ac:dyDescent="0.3">
      <c r="I312" s="40"/>
      <c r="L312" s="46"/>
      <c r="M312" s="40"/>
      <c r="N312" s="40"/>
    </row>
    <row r="313" spans="9:18" x14ac:dyDescent="0.3">
      <c r="I313" s="40"/>
      <c r="L313" s="46"/>
      <c r="M313" s="40"/>
      <c r="N313" s="40"/>
    </row>
    <row r="314" spans="9:18" x14ac:dyDescent="0.3">
      <c r="I314" s="40"/>
      <c r="L314" s="46"/>
      <c r="M314" s="40"/>
      <c r="N314" s="40"/>
    </row>
    <row r="315" spans="9:18" x14ac:dyDescent="0.3">
      <c r="I315" s="40"/>
      <c r="L315" s="46"/>
      <c r="M315" s="40"/>
      <c r="N315" s="40"/>
    </row>
    <row r="316" spans="9:18" x14ac:dyDescent="0.3">
      <c r="I316" s="40"/>
      <c r="L316" s="46"/>
      <c r="M316" s="40"/>
      <c r="N316" s="40"/>
    </row>
    <row r="317" spans="9:18" x14ac:dyDescent="0.3">
      <c r="I317" s="40"/>
      <c r="L317" s="46"/>
      <c r="M317" s="40"/>
      <c r="N317" s="40"/>
    </row>
    <row r="318" spans="9:18" x14ac:dyDescent="0.3">
      <c r="I318" s="40"/>
      <c r="L318" s="46"/>
      <c r="M318" s="40"/>
      <c r="N318" s="40"/>
    </row>
    <row r="319" spans="9:18" x14ac:dyDescent="0.3">
      <c r="I319" s="40"/>
      <c r="L319" s="46"/>
      <c r="M319" s="40"/>
      <c r="N319" s="40"/>
    </row>
    <row r="320" spans="9:18" x14ac:dyDescent="0.3">
      <c r="I320" s="40"/>
      <c r="L320" s="46"/>
      <c r="M320" s="40"/>
      <c r="N320" s="40"/>
    </row>
    <row r="321" spans="9:18" x14ac:dyDescent="0.3">
      <c r="I321" s="40"/>
      <c r="L321" s="46"/>
      <c r="M321" s="40"/>
      <c r="N321" s="40"/>
    </row>
    <row r="322" spans="9:18" x14ac:dyDescent="0.3">
      <c r="I322" s="40"/>
      <c r="L322" s="46"/>
      <c r="M322" s="40"/>
      <c r="N322" s="40"/>
      <c r="O322" s="42"/>
      <c r="R322" s="42"/>
    </row>
    <row r="323" spans="9:18" x14ac:dyDescent="0.3">
      <c r="I323" s="40"/>
      <c r="L323" s="46"/>
      <c r="M323" s="40"/>
      <c r="N323" s="40"/>
      <c r="O323" s="42"/>
      <c r="R323" s="42"/>
    </row>
    <row r="324" spans="9:18" x14ac:dyDescent="0.3">
      <c r="I324" s="40"/>
      <c r="L324" s="46"/>
      <c r="M324" s="40"/>
      <c r="N324" s="40"/>
    </row>
    <row r="325" spans="9:18" x14ac:dyDescent="0.3">
      <c r="I325" s="40"/>
      <c r="L325" s="46"/>
      <c r="M325" s="40"/>
      <c r="N325" s="40"/>
    </row>
    <row r="326" spans="9:18" x14ac:dyDescent="0.3">
      <c r="I326" s="40"/>
      <c r="L326" s="46"/>
      <c r="M326" s="40"/>
      <c r="N326" s="40"/>
    </row>
    <row r="327" spans="9:18" x14ac:dyDescent="0.3">
      <c r="I327" s="40"/>
      <c r="L327" s="46"/>
      <c r="M327" s="40"/>
      <c r="N327" s="40"/>
    </row>
    <row r="328" spans="9:18" x14ac:dyDescent="0.3">
      <c r="I328" s="40"/>
      <c r="L328" s="46"/>
      <c r="M328" s="40"/>
      <c r="N328" s="40"/>
    </row>
    <row r="329" spans="9:18" x14ac:dyDescent="0.3">
      <c r="I329" s="40"/>
      <c r="L329" s="46"/>
      <c r="M329" s="40"/>
      <c r="N329" s="40"/>
    </row>
    <row r="330" spans="9:18" x14ac:dyDescent="0.3">
      <c r="I330" s="40"/>
      <c r="L330" s="46"/>
      <c r="M330" s="40"/>
      <c r="N330" s="40"/>
    </row>
    <row r="331" spans="9:18" x14ac:dyDescent="0.3">
      <c r="I331" s="40"/>
      <c r="L331" s="46"/>
      <c r="M331" s="40"/>
      <c r="N331" s="40"/>
    </row>
    <row r="332" spans="9:18" x14ac:dyDescent="0.3">
      <c r="I332" s="40"/>
      <c r="L332" s="46"/>
      <c r="M332" s="40"/>
      <c r="N332" s="40"/>
    </row>
    <row r="333" spans="9:18" x14ac:dyDescent="0.3">
      <c r="I333" s="40"/>
      <c r="L333" s="46"/>
      <c r="M333" s="40"/>
      <c r="N333" s="40"/>
    </row>
    <row r="334" spans="9:18" x14ac:dyDescent="0.3">
      <c r="I334" s="40"/>
      <c r="L334" s="46"/>
      <c r="M334" s="40"/>
      <c r="N334" s="40"/>
    </row>
    <row r="335" spans="9:18" x14ac:dyDescent="0.3">
      <c r="I335" s="40"/>
      <c r="L335" s="46"/>
      <c r="M335" s="40"/>
      <c r="N335" s="40"/>
    </row>
    <row r="336" spans="9:18" x14ac:dyDescent="0.3">
      <c r="I336" s="40"/>
      <c r="L336" s="46"/>
      <c r="M336" s="40"/>
      <c r="N336" s="40"/>
    </row>
    <row r="337" spans="9:14" x14ac:dyDescent="0.3">
      <c r="I337" s="40"/>
      <c r="L337" s="46"/>
      <c r="M337" s="40"/>
      <c r="N337" s="40"/>
    </row>
    <row r="338" spans="9:14" x14ac:dyDescent="0.3">
      <c r="I338" s="40"/>
      <c r="L338" s="46"/>
      <c r="M338" s="40"/>
      <c r="N338" s="40"/>
    </row>
    <row r="339" spans="9:14" x14ac:dyDescent="0.3">
      <c r="I339" s="40"/>
      <c r="L339" s="46"/>
      <c r="M339" s="40"/>
      <c r="N339" s="40"/>
    </row>
    <row r="340" spans="9:14" x14ac:dyDescent="0.3">
      <c r="I340" s="40"/>
      <c r="L340" s="46"/>
      <c r="M340" s="40"/>
      <c r="N340" s="40"/>
    </row>
    <row r="341" spans="9:14" x14ac:dyDescent="0.3">
      <c r="I341" s="40"/>
      <c r="L341" s="46"/>
      <c r="M341" s="40"/>
      <c r="N341" s="40"/>
    </row>
    <row r="342" spans="9:14" x14ac:dyDescent="0.3">
      <c r="I342" s="40"/>
      <c r="L342" s="46"/>
      <c r="M342" s="40"/>
      <c r="N342" s="40"/>
    </row>
    <row r="343" spans="9:14" x14ac:dyDescent="0.3">
      <c r="I343" s="40"/>
      <c r="L343" s="46"/>
      <c r="M343" s="40"/>
      <c r="N343" s="40"/>
    </row>
    <row r="344" spans="9:14" x14ac:dyDescent="0.3">
      <c r="I344" s="40"/>
      <c r="L344" s="46"/>
      <c r="M344" s="40"/>
      <c r="N344" s="40"/>
    </row>
    <row r="345" spans="9:14" x14ac:dyDescent="0.3">
      <c r="I345" s="40"/>
      <c r="L345" s="46"/>
      <c r="M345" s="40"/>
      <c r="N345" s="40"/>
    </row>
    <row r="346" spans="9:14" x14ac:dyDescent="0.3">
      <c r="I346" s="40"/>
      <c r="L346" s="46"/>
      <c r="M346" s="40"/>
      <c r="N346" s="40"/>
    </row>
    <row r="347" spans="9:14" x14ac:dyDescent="0.3">
      <c r="I347" s="40"/>
      <c r="L347" s="46"/>
      <c r="M347" s="40"/>
      <c r="N347" s="40"/>
    </row>
    <row r="348" spans="9:14" x14ac:dyDescent="0.3">
      <c r="I348" s="40"/>
      <c r="L348" s="46"/>
      <c r="M348" s="40"/>
      <c r="N348" s="40"/>
    </row>
    <row r="349" spans="9:14" x14ac:dyDescent="0.3">
      <c r="I349" s="40"/>
      <c r="L349" s="46"/>
      <c r="M349" s="40"/>
      <c r="N349" s="40"/>
    </row>
    <row r="350" spans="9:14" x14ac:dyDescent="0.3">
      <c r="I350" s="40"/>
      <c r="L350" s="46"/>
      <c r="M350" s="40"/>
      <c r="N350" s="40"/>
    </row>
    <row r="351" spans="9:14" x14ac:dyDescent="0.3">
      <c r="I351" s="40"/>
      <c r="L351" s="46"/>
      <c r="M351" s="40"/>
      <c r="N351" s="40"/>
    </row>
    <row r="352" spans="9:14" x14ac:dyDescent="0.3">
      <c r="I352" s="40"/>
      <c r="L352" s="46"/>
      <c r="M352" s="40"/>
      <c r="N352" s="40"/>
    </row>
    <row r="353" spans="9:14" x14ac:dyDescent="0.3">
      <c r="I353" s="40"/>
      <c r="L353" s="46"/>
      <c r="M353" s="40"/>
      <c r="N353" s="40"/>
    </row>
    <row r="354" spans="9:14" x14ac:dyDescent="0.3">
      <c r="I354" s="40"/>
      <c r="L354" s="46"/>
      <c r="M354" s="40"/>
      <c r="N354" s="40"/>
    </row>
    <row r="355" spans="9:14" x14ac:dyDescent="0.3">
      <c r="I355" s="40"/>
      <c r="L355" s="46"/>
      <c r="M355" s="40"/>
      <c r="N355" s="40"/>
    </row>
    <row r="356" spans="9:14" x14ac:dyDescent="0.3">
      <c r="I356" s="40"/>
      <c r="L356" s="46"/>
      <c r="M356" s="40"/>
      <c r="N356" s="40"/>
    </row>
    <row r="357" spans="9:14" x14ac:dyDescent="0.3">
      <c r="I357" s="40"/>
      <c r="L357" s="46"/>
      <c r="M357" s="40"/>
      <c r="N357" s="40"/>
    </row>
    <row r="358" spans="9:14" x14ac:dyDescent="0.3">
      <c r="I358" s="40"/>
      <c r="L358" s="46"/>
      <c r="M358" s="40"/>
      <c r="N358" s="40"/>
    </row>
    <row r="359" spans="9:14" x14ac:dyDescent="0.3">
      <c r="I359" s="40"/>
      <c r="L359" s="46"/>
      <c r="M359" s="40"/>
      <c r="N359" s="40"/>
    </row>
    <row r="360" spans="9:14" x14ac:dyDescent="0.3">
      <c r="I360" s="40"/>
      <c r="L360" s="46"/>
      <c r="M360" s="40"/>
      <c r="N360" s="40"/>
    </row>
    <row r="361" spans="9:14" x14ac:dyDescent="0.3">
      <c r="I361" s="40"/>
      <c r="L361" s="46"/>
      <c r="M361" s="40"/>
      <c r="N361" s="40"/>
    </row>
    <row r="362" spans="9:14" x14ac:dyDescent="0.3">
      <c r="I362" s="40"/>
      <c r="L362" s="46"/>
      <c r="M362" s="40"/>
      <c r="N362" s="40"/>
    </row>
    <row r="363" spans="9:14" x14ac:dyDescent="0.3">
      <c r="I363" s="40"/>
      <c r="L363" s="46"/>
      <c r="M363" s="40"/>
      <c r="N363" s="40"/>
    </row>
    <row r="364" spans="9:14" x14ac:dyDescent="0.3">
      <c r="I364" s="40"/>
      <c r="L364" s="46"/>
      <c r="M364" s="40"/>
      <c r="N364" s="40"/>
    </row>
    <row r="365" spans="9:14" x14ac:dyDescent="0.3">
      <c r="I365" s="40"/>
      <c r="L365" s="46"/>
      <c r="M365" s="40"/>
      <c r="N365" s="40"/>
    </row>
    <row r="366" spans="9:14" x14ac:dyDescent="0.3">
      <c r="I366" s="40"/>
      <c r="L366" s="46"/>
      <c r="M366" s="40"/>
      <c r="N366" s="40"/>
    </row>
    <row r="367" spans="9:14" x14ac:dyDescent="0.3">
      <c r="I367" s="40"/>
      <c r="L367" s="46"/>
      <c r="M367" s="40"/>
      <c r="N367" s="40"/>
    </row>
    <row r="368" spans="9:14" x14ac:dyDescent="0.3">
      <c r="I368" s="40"/>
      <c r="L368" s="46"/>
      <c r="M368" s="40"/>
      <c r="N368" s="40"/>
    </row>
    <row r="369" spans="9:14" x14ac:dyDescent="0.3">
      <c r="I369" s="40"/>
      <c r="L369" s="46"/>
      <c r="M369" s="40"/>
      <c r="N369" s="40"/>
    </row>
    <row r="370" spans="9:14" x14ac:dyDescent="0.3">
      <c r="I370" s="40"/>
      <c r="L370" s="46"/>
      <c r="M370" s="40"/>
      <c r="N370" s="40"/>
    </row>
    <row r="371" spans="9:14" x14ac:dyDescent="0.3">
      <c r="I371" s="40"/>
      <c r="L371" s="46"/>
      <c r="M371" s="40"/>
      <c r="N371" s="40"/>
    </row>
    <row r="372" spans="9:14" x14ac:dyDescent="0.3">
      <c r="I372" s="40"/>
      <c r="L372" s="46"/>
      <c r="M372" s="40"/>
      <c r="N372" s="40"/>
    </row>
    <row r="373" spans="9:14" x14ac:dyDescent="0.3">
      <c r="I373" s="40"/>
      <c r="L373" s="46"/>
      <c r="M373" s="40"/>
      <c r="N373" s="40"/>
    </row>
    <row r="374" spans="9:14" x14ac:dyDescent="0.3">
      <c r="I374" s="40"/>
      <c r="L374" s="46"/>
      <c r="M374" s="40"/>
      <c r="N374" s="40"/>
    </row>
    <row r="375" spans="9:14" x14ac:dyDescent="0.3">
      <c r="I375" s="40"/>
      <c r="L375" s="46"/>
      <c r="M375" s="40"/>
      <c r="N375" s="40"/>
    </row>
    <row r="376" spans="9:14" x14ac:dyDescent="0.3">
      <c r="I376" s="40"/>
      <c r="L376" s="46"/>
      <c r="M376" s="40"/>
      <c r="N376" s="40"/>
    </row>
    <row r="377" spans="9:14" x14ac:dyDescent="0.3">
      <c r="I377" s="40"/>
      <c r="L377" s="46"/>
      <c r="M377" s="40"/>
      <c r="N377" s="40"/>
    </row>
    <row r="378" spans="9:14" x14ac:dyDescent="0.3">
      <c r="I378" s="40"/>
      <c r="L378" s="46"/>
      <c r="M378" s="40"/>
      <c r="N378" s="40"/>
    </row>
    <row r="379" spans="9:14" x14ac:dyDescent="0.3">
      <c r="I379" s="40"/>
      <c r="L379" s="46"/>
      <c r="M379" s="40"/>
      <c r="N379" s="40"/>
    </row>
    <row r="380" spans="9:14" x14ac:dyDescent="0.3">
      <c r="I380" s="40"/>
      <c r="L380" s="46"/>
      <c r="M380" s="40"/>
      <c r="N380" s="40"/>
    </row>
    <row r="381" spans="9:14" x14ac:dyDescent="0.3">
      <c r="I381" s="40"/>
      <c r="L381" s="46"/>
      <c r="M381" s="40"/>
      <c r="N381" s="40"/>
    </row>
    <row r="382" spans="9:14" x14ac:dyDescent="0.3">
      <c r="I382" s="40"/>
      <c r="L382" s="46"/>
      <c r="M382" s="40"/>
      <c r="N382" s="40"/>
    </row>
    <row r="383" spans="9:14" x14ac:dyDescent="0.3">
      <c r="I383" s="40"/>
      <c r="L383" s="46"/>
      <c r="M383" s="40"/>
      <c r="N383" s="40"/>
    </row>
    <row r="384" spans="9:14" x14ac:dyDescent="0.3">
      <c r="I384" s="40"/>
      <c r="L384" s="46"/>
      <c r="M384" s="40"/>
      <c r="N384" s="40"/>
    </row>
    <row r="385" spans="9:14" x14ac:dyDescent="0.3">
      <c r="I385" s="40"/>
      <c r="L385" s="46"/>
      <c r="M385" s="40"/>
      <c r="N385" s="40"/>
    </row>
    <row r="386" spans="9:14" x14ac:dyDescent="0.3">
      <c r="I386" s="40"/>
      <c r="L386" s="46"/>
      <c r="M386" s="40"/>
      <c r="N386" s="40"/>
    </row>
    <row r="387" spans="9:14" x14ac:dyDescent="0.3">
      <c r="I387" s="40"/>
      <c r="L387" s="46"/>
      <c r="M387" s="40"/>
      <c r="N387" s="40"/>
    </row>
    <row r="388" spans="9:14" x14ac:dyDescent="0.3">
      <c r="I388" s="40"/>
      <c r="L388" s="46"/>
      <c r="M388" s="40"/>
      <c r="N388" s="40"/>
    </row>
    <row r="389" spans="9:14" x14ac:dyDescent="0.3">
      <c r="I389" s="40"/>
      <c r="L389" s="46"/>
      <c r="M389" s="40"/>
      <c r="N389" s="40"/>
    </row>
    <row r="390" spans="9:14" x14ac:dyDescent="0.3">
      <c r="I390" s="40"/>
      <c r="L390" s="46"/>
      <c r="M390" s="40"/>
      <c r="N390" s="40"/>
    </row>
    <row r="391" spans="9:14" x14ac:dyDescent="0.3">
      <c r="I391" s="40"/>
      <c r="L391" s="46"/>
      <c r="M391" s="40"/>
      <c r="N391" s="40"/>
    </row>
    <row r="392" spans="9:14" x14ac:dyDescent="0.3">
      <c r="I392" s="40"/>
      <c r="L392" s="46"/>
      <c r="M392" s="40"/>
      <c r="N392" s="40"/>
    </row>
    <row r="393" spans="9:14" x14ac:dyDescent="0.3">
      <c r="I393" s="40"/>
      <c r="L393" s="46"/>
      <c r="M393" s="40"/>
      <c r="N393" s="40"/>
    </row>
    <row r="394" spans="9:14" x14ac:dyDescent="0.3">
      <c r="I394" s="40"/>
      <c r="L394" s="46"/>
      <c r="M394" s="40"/>
      <c r="N394" s="40"/>
    </row>
    <row r="395" spans="9:14" x14ac:dyDescent="0.3">
      <c r="I395" s="40"/>
      <c r="L395" s="46"/>
      <c r="M395" s="40"/>
      <c r="N395" s="40"/>
    </row>
    <row r="396" spans="9:14" x14ac:dyDescent="0.3">
      <c r="I396" s="40"/>
      <c r="L396" s="46"/>
      <c r="M396" s="40"/>
      <c r="N396" s="40"/>
    </row>
    <row r="397" spans="9:14" x14ac:dyDescent="0.3">
      <c r="I397" s="40"/>
      <c r="L397" s="46"/>
      <c r="M397" s="40"/>
      <c r="N397" s="40"/>
    </row>
    <row r="398" spans="9:14" x14ac:dyDescent="0.3">
      <c r="I398" s="40"/>
      <c r="L398" s="46"/>
      <c r="M398" s="40"/>
      <c r="N398" s="40"/>
    </row>
    <row r="399" spans="9:14" x14ac:dyDescent="0.3">
      <c r="I399" s="40"/>
      <c r="L399" s="46"/>
      <c r="M399" s="40"/>
      <c r="N399" s="40"/>
    </row>
    <row r="400" spans="9:14" x14ac:dyDescent="0.3">
      <c r="I400" s="40"/>
      <c r="L400" s="46"/>
      <c r="M400" s="40"/>
      <c r="N400" s="40"/>
    </row>
    <row r="401" spans="9:14" x14ac:dyDescent="0.3">
      <c r="I401" s="40"/>
      <c r="L401" s="46"/>
      <c r="M401" s="40"/>
      <c r="N401" s="40"/>
    </row>
    <row r="402" spans="9:14" x14ac:dyDescent="0.3">
      <c r="I402" s="40"/>
      <c r="L402" s="46"/>
      <c r="M402" s="40"/>
      <c r="N402" s="40"/>
    </row>
    <row r="403" spans="9:14" x14ac:dyDescent="0.3">
      <c r="I403" s="40"/>
      <c r="L403" s="46"/>
      <c r="M403" s="40"/>
      <c r="N403" s="40"/>
    </row>
    <row r="404" spans="9:14" x14ac:dyDescent="0.3">
      <c r="I404" s="40"/>
      <c r="L404" s="46"/>
      <c r="M404" s="40"/>
      <c r="N404" s="40"/>
    </row>
    <row r="405" spans="9:14" x14ac:dyDescent="0.3">
      <c r="I405" s="40"/>
      <c r="L405" s="46"/>
      <c r="M405" s="40"/>
      <c r="N405" s="40"/>
    </row>
    <row r="406" spans="9:14" x14ac:dyDescent="0.3">
      <c r="I406" s="40"/>
      <c r="L406" s="46"/>
      <c r="M406" s="40"/>
      <c r="N406" s="40"/>
    </row>
    <row r="407" spans="9:14" x14ac:dyDescent="0.3">
      <c r="I407" s="40"/>
      <c r="L407" s="46"/>
      <c r="M407" s="40"/>
      <c r="N407" s="40"/>
    </row>
    <row r="408" spans="9:14" x14ac:dyDescent="0.3">
      <c r="I408" s="40"/>
      <c r="L408" s="46"/>
      <c r="M408" s="40"/>
      <c r="N408" s="40"/>
    </row>
    <row r="409" spans="9:14" x14ac:dyDescent="0.3">
      <c r="I409" s="40"/>
      <c r="L409" s="46"/>
      <c r="M409" s="40"/>
      <c r="N409" s="40"/>
    </row>
    <row r="410" spans="9:14" x14ac:dyDescent="0.3">
      <c r="I410" s="40"/>
      <c r="L410" s="46"/>
      <c r="M410" s="40"/>
      <c r="N410" s="40"/>
    </row>
    <row r="411" spans="9:14" x14ac:dyDescent="0.3">
      <c r="I411" s="40"/>
      <c r="L411" s="46"/>
      <c r="M411" s="40"/>
      <c r="N411" s="40"/>
    </row>
    <row r="412" spans="9:14" x14ac:dyDescent="0.3">
      <c r="I412" s="40"/>
      <c r="L412" s="46"/>
      <c r="M412" s="40"/>
      <c r="N412" s="40"/>
    </row>
    <row r="413" spans="9:14" x14ac:dyDescent="0.3">
      <c r="I413" s="40"/>
      <c r="L413" s="46"/>
      <c r="M413" s="40"/>
      <c r="N413" s="40"/>
    </row>
    <row r="414" spans="9:14" x14ac:dyDescent="0.3">
      <c r="I414" s="40"/>
      <c r="L414" s="46"/>
      <c r="M414" s="40"/>
      <c r="N414" s="40"/>
    </row>
    <row r="415" spans="9:14" x14ac:dyDescent="0.3">
      <c r="I415" s="40"/>
      <c r="L415" s="46"/>
      <c r="M415" s="40"/>
      <c r="N415" s="40"/>
    </row>
    <row r="416" spans="9:14" x14ac:dyDescent="0.3">
      <c r="I416" s="40"/>
      <c r="L416" s="46"/>
      <c r="M416" s="40"/>
      <c r="N416" s="40"/>
    </row>
    <row r="417" spans="9:14" x14ac:dyDescent="0.3">
      <c r="I417" s="40"/>
      <c r="L417" s="46"/>
      <c r="M417" s="40"/>
      <c r="N417" s="40"/>
    </row>
    <row r="418" spans="9:14" x14ac:dyDescent="0.3">
      <c r="I418" s="40"/>
      <c r="L418" s="46"/>
      <c r="M418" s="40"/>
      <c r="N418" s="40"/>
    </row>
    <row r="419" spans="9:14" x14ac:dyDescent="0.3">
      <c r="I419" s="40"/>
      <c r="L419" s="46"/>
      <c r="M419" s="40"/>
      <c r="N419" s="40"/>
    </row>
    <row r="420" spans="9:14" x14ac:dyDescent="0.3">
      <c r="I420" s="40"/>
      <c r="L420" s="46"/>
      <c r="M420" s="40"/>
      <c r="N420" s="40"/>
    </row>
    <row r="421" spans="9:14" x14ac:dyDescent="0.3">
      <c r="I421" s="40"/>
      <c r="L421" s="46"/>
      <c r="M421" s="40"/>
      <c r="N421" s="40"/>
    </row>
    <row r="422" spans="9:14" x14ac:dyDescent="0.3">
      <c r="I422" s="40"/>
      <c r="L422" s="46"/>
      <c r="M422" s="40"/>
      <c r="N422" s="40"/>
    </row>
    <row r="423" spans="9:14" x14ac:dyDescent="0.3">
      <c r="I423" s="40"/>
      <c r="L423" s="46"/>
      <c r="M423" s="40"/>
      <c r="N423" s="40"/>
    </row>
    <row r="424" spans="9:14" x14ac:dyDescent="0.3">
      <c r="I424" s="40"/>
      <c r="L424" s="46"/>
      <c r="M424" s="40"/>
      <c r="N424" s="40"/>
    </row>
    <row r="425" spans="9:14" x14ac:dyDescent="0.3">
      <c r="I425" s="40"/>
      <c r="L425" s="46"/>
      <c r="M425" s="40"/>
      <c r="N425" s="40"/>
    </row>
    <row r="426" spans="9:14" x14ac:dyDescent="0.3">
      <c r="I426" s="40"/>
      <c r="L426" s="46"/>
      <c r="M426" s="40"/>
      <c r="N426" s="40"/>
    </row>
    <row r="427" spans="9:14" x14ac:dyDescent="0.3">
      <c r="I427" s="40"/>
      <c r="L427" s="46"/>
      <c r="M427" s="40"/>
      <c r="N427" s="40"/>
    </row>
    <row r="428" spans="9:14" x14ac:dyDescent="0.3">
      <c r="I428" s="40"/>
      <c r="L428" s="46"/>
      <c r="M428" s="40"/>
      <c r="N428" s="40"/>
    </row>
    <row r="429" spans="9:14" x14ac:dyDescent="0.3">
      <c r="I429" s="40"/>
      <c r="L429" s="46"/>
      <c r="M429" s="40"/>
      <c r="N429" s="40"/>
    </row>
    <row r="430" spans="9:14" x14ac:dyDescent="0.3">
      <c r="I430" s="40"/>
      <c r="L430" s="46"/>
      <c r="M430" s="40"/>
      <c r="N430" s="40"/>
    </row>
    <row r="431" spans="9:14" x14ac:dyDescent="0.3">
      <c r="I431" s="40"/>
      <c r="L431" s="46"/>
      <c r="M431" s="40"/>
      <c r="N431" s="40"/>
    </row>
    <row r="432" spans="9:14" x14ac:dyDescent="0.3">
      <c r="I432" s="40"/>
      <c r="L432" s="46"/>
      <c r="M432" s="40"/>
      <c r="N432" s="40"/>
    </row>
    <row r="433" spans="9:14" x14ac:dyDescent="0.3">
      <c r="I433" s="40"/>
      <c r="L433" s="46"/>
      <c r="M433" s="40"/>
      <c r="N433" s="40"/>
    </row>
    <row r="434" spans="9:14" x14ac:dyDescent="0.3">
      <c r="I434" s="40"/>
      <c r="L434" s="46"/>
      <c r="M434" s="40"/>
      <c r="N434" s="40"/>
    </row>
    <row r="435" spans="9:14" x14ac:dyDescent="0.3">
      <c r="I435" s="40"/>
      <c r="L435" s="46"/>
      <c r="M435" s="40"/>
      <c r="N435" s="40"/>
    </row>
    <row r="436" spans="9:14" x14ac:dyDescent="0.3">
      <c r="I436" s="40"/>
      <c r="L436" s="46"/>
      <c r="M436" s="40"/>
      <c r="N436" s="40"/>
    </row>
    <row r="437" spans="9:14" x14ac:dyDescent="0.3">
      <c r="I437" s="40"/>
      <c r="L437" s="46"/>
      <c r="M437" s="40"/>
      <c r="N437" s="40"/>
    </row>
    <row r="438" spans="9:14" x14ac:dyDescent="0.3">
      <c r="I438" s="40"/>
      <c r="L438" s="46"/>
      <c r="M438" s="40"/>
      <c r="N438" s="40"/>
    </row>
    <row r="439" spans="9:14" x14ac:dyDescent="0.3">
      <c r="I439" s="40"/>
      <c r="L439" s="46"/>
      <c r="M439" s="40"/>
      <c r="N439" s="40"/>
    </row>
    <row r="440" spans="9:14" x14ac:dyDescent="0.3">
      <c r="I440" s="40"/>
      <c r="L440" s="46"/>
      <c r="M440" s="40"/>
      <c r="N440" s="40"/>
    </row>
    <row r="441" spans="9:14" x14ac:dyDescent="0.3">
      <c r="I441" s="40"/>
      <c r="L441" s="46"/>
      <c r="M441" s="40"/>
      <c r="N441" s="40"/>
    </row>
    <row r="442" spans="9:14" x14ac:dyDescent="0.3">
      <c r="I442" s="40"/>
      <c r="L442" s="46"/>
      <c r="M442" s="40"/>
      <c r="N442" s="40"/>
    </row>
    <row r="443" spans="9:14" x14ac:dyDescent="0.3">
      <c r="I443" s="40"/>
      <c r="L443" s="46"/>
      <c r="M443" s="40"/>
      <c r="N443" s="40"/>
    </row>
    <row r="444" spans="9:14" x14ac:dyDescent="0.3">
      <c r="I444" s="40"/>
      <c r="L444" s="46"/>
      <c r="M444" s="40"/>
      <c r="N444" s="40"/>
    </row>
    <row r="445" spans="9:14" x14ac:dyDescent="0.3">
      <c r="I445" s="40"/>
      <c r="L445" s="46"/>
      <c r="M445" s="40"/>
      <c r="N445" s="40"/>
    </row>
    <row r="446" spans="9:14" x14ac:dyDescent="0.3">
      <c r="I446" s="40"/>
      <c r="L446" s="46"/>
      <c r="M446" s="40"/>
      <c r="N446" s="40"/>
    </row>
    <row r="447" spans="9:14" x14ac:dyDescent="0.3">
      <c r="I447" s="40"/>
      <c r="L447" s="46"/>
      <c r="M447" s="40"/>
      <c r="N447" s="40"/>
    </row>
    <row r="448" spans="9:14" x14ac:dyDescent="0.3">
      <c r="I448" s="40"/>
      <c r="L448" s="46"/>
      <c r="M448" s="40"/>
      <c r="N448" s="40"/>
    </row>
    <row r="449" spans="9:14" x14ac:dyDescent="0.3">
      <c r="I449" s="40"/>
      <c r="L449" s="46"/>
      <c r="M449" s="40"/>
      <c r="N449" s="40"/>
    </row>
    <row r="450" spans="9:14" x14ac:dyDescent="0.3">
      <c r="I450" s="40"/>
      <c r="L450" s="46"/>
      <c r="M450" s="40"/>
      <c r="N450" s="40"/>
    </row>
    <row r="451" spans="9:14" x14ac:dyDescent="0.3">
      <c r="I451" s="40"/>
      <c r="L451" s="46"/>
      <c r="M451" s="40"/>
      <c r="N451" s="40"/>
    </row>
    <row r="452" spans="9:14" x14ac:dyDescent="0.3">
      <c r="I452" s="40"/>
      <c r="L452" s="46"/>
      <c r="M452" s="40"/>
      <c r="N452" s="40"/>
    </row>
    <row r="453" spans="9:14" x14ac:dyDescent="0.3">
      <c r="I453" s="40"/>
      <c r="L453" s="46"/>
      <c r="M453" s="40"/>
      <c r="N453" s="40"/>
    </row>
    <row r="454" spans="9:14" x14ac:dyDescent="0.3">
      <c r="I454" s="40"/>
      <c r="L454" s="46"/>
      <c r="M454" s="40"/>
      <c r="N454" s="40"/>
    </row>
    <row r="455" spans="9:14" x14ac:dyDescent="0.3">
      <c r="I455" s="40"/>
      <c r="L455" s="46"/>
      <c r="M455" s="40"/>
      <c r="N455" s="40"/>
    </row>
    <row r="456" spans="9:14" x14ac:dyDescent="0.3">
      <c r="I456" s="40"/>
      <c r="L456" s="46"/>
      <c r="M456" s="40"/>
      <c r="N456" s="40"/>
    </row>
    <row r="457" spans="9:14" x14ac:dyDescent="0.3">
      <c r="I457" s="40"/>
      <c r="L457" s="46"/>
      <c r="M457" s="40"/>
      <c r="N457" s="40"/>
    </row>
    <row r="458" spans="9:14" x14ac:dyDescent="0.3">
      <c r="I458" s="40"/>
      <c r="L458" s="46"/>
      <c r="M458" s="40"/>
      <c r="N458" s="40"/>
    </row>
    <row r="459" spans="9:14" x14ac:dyDescent="0.3">
      <c r="I459" s="40"/>
      <c r="L459" s="46"/>
      <c r="M459" s="40"/>
      <c r="N459" s="40"/>
    </row>
    <row r="460" spans="9:14" x14ac:dyDescent="0.3">
      <c r="I460" s="40"/>
      <c r="L460" s="46"/>
      <c r="M460" s="40"/>
      <c r="N460" s="40"/>
    </row>
    <row r="461" spans="9:14" x14ac:dyDescent="0.3">
      <c r="I461" s="40"/>
      <c r="L461" s="46"/>
      <c r="M461" s="40"/>
      <c r="N461" s="40"/>
    </row>
    <row r="462" spans="9:14" x14ac:dyDescent="0.3">
      <c r="I462" s="40"/>
      <c r="L462" s="46"/>
      <c r="M462" s="40"/>
      <c r="N462" s="40"/>
    </row>
    <row r="463" spans="9:14" x14ac:dyDescent="0.3">
      <c r="I463" s="40"/>
      <c r="L463" s="46"/>
      <c r="M463" s="40"/>
      <c r="N463" s="40"/>
    </row>
    <row r="464" spans="9:14" x14ac:dyDescent="0.3">
      <c r="I464" s="40"/>
      <c r="L464" s="46"/>
      <c r="M464" s="40"/>
      <c r="N464" s="40"/>
    </row>
    <row r="465" spans="9:14" x14ac:dyDescent="0.3">
      <c r="I465" s="40"/>
      <c r="L465" s="46"/>
      <c r="M465" s="40"/>
      <c r="N465" s="40"/>
    </row>
    <row r="466" spans="9:14" x14ac:dyDescent="0.3">
      <c r="I466" s="40"/>
      <c r="L466" s="46"/>
      <c r="M466" s="40"/>
      <c r="N466" s="40"/>
    </row>
    <row r="467" spans="9:14" x14ac:dyDescent="0.3">
      <c r="I467" s="40"/>
      <c r="L467" s="46"/>
      <c r="M467" s="40"/>
      <c r="N467" s="40"/>
    </row>
    <row r="468" spans="9:14" x14ac:dyDescent="0.3">
      <c r="I468" s="40"/>
      <c r="L468" s="46"/>
      <c r="M468" s="40"/>
      <c r="N468" s="40"/>
    </row>
    <row r="469" spans="9:14" x14ac:dyDescent="0.3">
      <c r="I469" s="40"/>
      <c r="L469" s="46"/>
      <c r="M469" s="40"/>
      <c r="N469" s="40"/>
    </row>
    <row r="470" spans="9:14" x14ac:dyDescent="0.3">
      <c r="I470" s="40"/>
      <c r="L470" s="46"/>
      <c r="M470" s="40"/>
      <c r="N470" s="40"/>
    </row>
    <row r="471" spans="9:14" x14ac:dyDescent="0.3">
      <c r="I471" s="40"/>
      <c r="L471" s="46"/>
      <c r="M471" s="40"/>
      <c r="N471" s="40"/>
    </row>
    <row r="472" spans="9:14" x14ac:dyDescent="0.3">
      <c r="I472" s="40"/>
      <c r="L472" s="46"/>
      <c r="M472" s="40"/>
      <c r="N472" s="40"/>
    </row>
    <row r="473" spans="9:14" x14ac:dyDescent="0.3">
      <c r="I473" s="40"/>
      <c r="L473" s="46"/>
      <c r="M473" s="40"/>
      <c r="N473" s="40"/>
    </row>
    <row r="474" spans="9:14" x14ac:dyDescent="0.3">
      <c r="I474" s="40"/>
      <c r="L474" s="46"/>
      <c r="M474" s="40"/>
      <c r="N474" s="40"/>
    </row>
    <row r="475" spans="9:14" x14ac:dyDescent="0.3">
      <c r="I475" s="40"/>
      <c r="L475" s="46"/>
      <c r="M475" s="40"/>
      <c r="N475" s="40"/>
    </row>
    <row r="476" spans="9:14" x14ac:dyDescent="0.3">
      <c r="I476" s="40"/>
      <c r="L476" s="46"/>
      <c r="M476" s="40"/>
      <c r="N476" s="40"/>
    </row>
    <row r="477" spans="9:14" x14ac:dyDescent="0.3">
      <c r="I477" s="40"/>
      <c r="L477" s="46"/>
      <c r="M477" s="40"/>
      <c r="N477" s="40"/>
    </row>
    <row r="478" spans="9:14" x14ac:dyDescent="0.3">
      <c r="I478" s="40"/>
      <c r="L478" s="46"/>
      <c r="M478" s="40"/>
      <c r="N478" s="40"/>
    </row>
    <row r="479" spans="9:14" x14ac:dyDescent="0.3">
      <c r="I479" s="40"/>
      <c r="L479" s="46"/>
      <c r="M479" s="40"/>
      <c r="N479" s="40"/>
    </row>
    <row r="480" spans="9:14" x14ac:dyDescent="0.3">
      <c r="I480" s="40"/>
      <c r="L480" s="46"/>
      <c r="M480" s="40"/>
      <c r="N480" s="40"/>
    </row>
    <row r="481" spans="9:14" x14ac:dyDescent="0.3">
      <c r="I481" s="40"/>
      <c r="L481" s="46"/>
      <c r="M481" s="40"/>
      <c r="N481" s="40"/>
    </row>
    <row r="482" spans="9:14" x14ac:dyDescent="0.3">
      <c r="I482" s="40"/>
      <c r="L482" s="46"/>
      <c r="M482" s="40"/>
      <c r="N482" s="40"/>
    </row>
    <row r="483" spans="9:14" x14ac:dyDescent="0.3">
      <c r="I483" s="40"/>
      <c r="L483" s="46"/>
      <c r="M483" s="40"/>
      <c r="N483" s="40"/>
    </row>
    <row r="484" spans="9:14" x14ac:dyDescent="0.3">
      <c r="I484" s="40"/>
      <c r="L484" s="46"/>
      <c r="M484" s="40"/>
      <c r="N484" s="40"/>
    </row>
    <row r="485" spans="9:14" x14ac:dyDescent="0.3">
      <c r="I485" s="40"/>
      <c r="L485" s="46"/>
      <c r="M485" s="40"/>
      <c r="N485" s="40"/>
    </row>
    <row r="486" spans="9:14" x14ac:dyDescent="0.3">
      <c r="I486" s="40"/>
      <c r="L486" s="46"/>
      <c r="M486" s="40"/>
      <c r="N486" s="40"/>
    </row>
    <row r="487" spans="9:14" x14ac:dyDescent="0.3">
      <c r="I487" s="40"/>
      <c r="L487" s="46"/>
      <c r="M487" s="40"/>
      <c r="N487" s="40"/>
    </row>
    <row r="488" spans="9:14" x14ac:dyDescent="0.3">
      <c r="I488" s="40"/>
      <c r="L488" s="46"/>
      <c r="M488" s="40"/>
      <c r="N488" s="40"/>
    </row>
    <row r="489" spans="9:14" x14ac:dyDescent="0.3">
      <c r="I489" s="40"/>
      <c r="L489" s="46"/>
      <c r="M489" s="40"/>
      <c r="N489" s="40"/>
    </row>
    <row r="490" spans="9:14" x14ac:dyDescent="0.3">
      <c r="I490" s="40"/>
      <c r="L490" s="46"/>
      <c r="M490" s="40"/>
      <c r="N490" s="40"/>
    </row>
    <row r="491" spans="9:14" x14ac:dyDescent="0.3">
      <c r="I491" s="40"/>
      <c r="L491" s="46"/>
      <c r="M491" s="40"/>
      <c r="N491" s="40"/>
    </row>
    <row r="492" spans="9:14" x14ac:dyDescent="0.3">
      <c r="I492" s="40"/>
      <c r="L492" s="46"/>
      <c r="M492" s="40"/>
      <c r="N492" s="40"/>
    </row>
    <row r="493" spans="9:14" x14ac:dyDescent="0.3">
      <c r="I493" s="40"/>
      <c r="L493" s="46"/>
      <c r="M493" s="40"/>
      <c r="N493" s="40"/>
    </row>
    <row r="494" spans="9:14" x14ac:dyDescent="0.3">
      <c r="I494" s="40"/>
      <c r="L494" s="46"/>
      <c r="M494" s="40"/>
      <c r="N494" s="40"/>
    </row>
    <row r="495" spans="9:14" x14ac:dyDescent="0.3">
      <c r="I495" s="40"/>
      <c r="L495" s="46"/>
      <c r="M495" s="40"/>
      <c r="N495" s="40"/>
    </row>
    <row r="496" spans="9:14" x14ac:dyDescent="0.3">
      <c r="I496" s="40"/>
      <c r="L496" s="46"/>
      <c r="M496" s="40"/>
      <c r="N496" s="40"/>
    </row>
    <row r="497" spans="9:14" x14ac:dyDescent="0.3">
      <c r="I497" s="40"/>
      <c r="L497" s="46"/>
      <c r="M497" s="40"/>
      <c r="N497" s="40"/>
    </row>
    <row r="498" spans="9:14" x14ac:dyDescent="0.3">
      <c r="I498" s="40"/>
      <c r="L498" s="46"/>
      <c r="M498" s="40"/>
      <c r="N498" s="40"/>
    </row>
    <row r="499" spans="9:14" x14ac:dyDescent="0.3">
      <c r="I499" s="40"/>
      <c r="L499" s="46"/>
      <c r="M499" s="40"/>
      <c r="N499" s="40"/>
    </row>
    <row r="500" spans="9:14" x14ac:dyDescent="0.3">
      <c r="I500" s="40"/>
      <c r="L500" s="46"/>
      <c r="M500" s="40"/>
      <c r="N500" s="40"/>
    </row>
    <row r="501" spans="9:14" x14ac:dyDescent="0.3">
      <c r="I501" s="40"/>
      <c r="L501" s="46"/>
      <c r="M501" s="40"/>
      <c r="N501" s="40"/>
    </row>
    <row r="502" spans="9:14" x14ac:dyDescent="0.3">
      <c r="I502" s="40"/>
      <c r="L502" s="46"/>
      <c r="M502" s="40"/>
      <c r="N502" s="40"/>
    </row>
    <row r="503" spans="9:14" x14ac:dyDescent="0.3">
      <c r="I503" s="40"/>
      <c r="L503" s="46"/>
      <c r="M503" s="40"/>
      <c r="N503" s="40"/>
    </row>
    <row r="504" spans="9:14" x14ac:dyDescent="0.3">
      <c r="I504" s="40"/>
      <c r="L504" s="46"/>
      <c r="M504" s="40"/>
      <c r="N504" s="40"/>
    </row>
    <row r="505" spans="9:14" x14ac:dyDescent="0.3">
      <c r="I505" s="40"/>
      <c r="L505" s="46"/>
      <c r="M505" s="40"/>
      <c r="N505" s="40"/>
    </row>
    <row r="506" spans="9:14" x14ac:dyDescent="0.3">
      <c r="I506" s="40"/>
      <c r="L506" s="46"/>
      <c r="M506" s="40"/>
      <c r="N506" s="40"/>
    </row>
    <row r="507" spans="9:14" x14ac:dyDescent="0.3">
      <c r="I507" s="40"/>
      <c r="L507" s="46"/>
      <c r="M507" s="40"/>
      <c r="N507" s="40"/>
    </row>
    <row r="508" spans="9:14" x14ac:dyDescent="0.3">
      <c r="I508" s="40"/>
      <c r="L508" s="46"/>
      <c r="M508" s="40"/>
      <c r="N508" s="40"/>
    </row>
    <row r="509" spans="9:14" x14ac:dyDescent="0.3">
      <c r="I509" s="40"/>
      <c r="L509" s="46"/>
      <c r="M509" s="40"/>
      <c r="N509" s="40"/>
    </row>
    <row r="510" spans="9:14" x14ac:dyDescent="0.3">
      <c r="I510" s="40"/>
      <c r="L510" s="46"/>
      <c r="M510" s="40"/>
      <c r="N510" s="40"/>
    </row>
    <row r="511" spans="9:14" x14ac:dyDescent="0.3">
      <c r="I511" s="40"/>
      <c r="L511" s="46"/>
      <c r="M511" s="40"/>
      <c r="N511" s="40"/>
    </row>
    <row r="512" spans="9:14" x14ac:dyDescent="0.3">
      <c r="I512" s="40"/>
      <c r="L512" s="46"/>
      <c r="M512" s="40"/>
      <c r="N512" s="40"/>
    </row>
    <row r="513" spans="9:14" x14ac:dyDescent="0.3">
      <c r="I513" s="40"/>
      <c r="L513" s="46"/>
      <c r="M513" s="40"/>
      <c r="N513" s="40"/>
    </row>
    <row r="514" spans="9:14" x14ac:dyDescent="0.3">
      <c r="I514" s="40"/>
      <c r="L514" s="46"/>
      <c r="M514" s="40"/>
      <c r="N514" s="40"/>
    </row>
    <row r="515" spans="9:14" x14ac:dyDescent="0.3">
      <c r="I515" s="40"/>
      <c r="L515" s="46"/>
      <c r="M515" s="40"/>
      <c r="N515" s="40"/>
    </row>
    <row r="516" spans="9:14" x14ac:dyDescent="0.3">
      <c r="I516" s="40"/>
      <c r="L516" s="46"/>
      <c r="M516" s="40"/>
      <c r="N516" s="40"/>
    </row>
    <row r="517" spans="9:14" x14ac:dyDescent="0.3">
      <c r="I517" s="40"/>
      <c r="L517" s="46"/>
      <c r="M517" s="40"/>
      <c r="N517" s="40"/>
    </row>
    <row r="518" spans="9:14" x14ac:dyDescent="0.3">
      <c r="I518" s="40"/>
      <c r="L518" s="46"/>
      <c r="M518" s="40"/>
      <c r="N518" s="40"/>
    </row>
    <row r="519" spans="9:14" x14ac:dyDescent="0.3">
      <c r="I519" s="40"/>
      <c r="L519" s="46"/>
      <c r="M519" s="40"/>
      <c r="N519" s="40"/>
    </row>
    <row r="520" spans="9:14" x14ac:dyDescent="0.3">
      <c r="I520" s="40"/>
      <c r="L520" s="46"/>
      <c r="M520" s="40"/>
      <c r="N520" s="40"/>
    </row>
    <row r="521" spans="9:14" x14ac:dyDescent="0.3">
      <c r="I521" s="40"/>
      <c r="L521" s="46"/>
      <c r="M521" s="40"/>
      <c r="N521" s="40"/>
    </row>
    <row r="522" spans="9:14" x14ac:dyDescent="0.3">
      <c r="I522" s="40"/>
      <c r="L522" s="46"/>
      <c r="M522" s="40"/>
      <c r="N522" s="40"/>
    </row>
    <row r="523" spans="9:14" x14ac:dyDescent="0.3">
      <c r="I523" s="40"/>
      <c r="L523" s="46"/>
      <c r="M523" s="40"/>
      <c r="N523" s="40"/>
    </row>
    <row r="524" spans="9:14" x14ac:dyDescent="0.3">
      <c r="I524" s="40"/>
      <c r="L524" s="46"/>
      <c r="M524" s="40"/>
      <c r="N524" s="40"/>
    </row>
    <row r="525" spans="9:14" x14ac:dyDescent="0.3">
      <c r="I525" s="40"/>
      <c r="L525" s="46"/>
      <c r="M525" s="40"/>
      <c r="N525" s="40"/>
    </row>
    <row r="526" spans="9:14" x14ac:dyDescent="0.3">
      <c r="I526" s="40"/>
      <c r="L526" s="46"/>
      <c r="M526" s="40"/>
      <c r="N526" s="40"/>
    </row>
    <row r="527" spans="9:14" x14ac:dyDescent="0.3">
      <c r="I527" s="40"/>
      <c r="L527" s="46"/>
      <c r="M527" s="40"/>
      <c r="N527" s="40"/>
    </row>
    <row r="528" spans="9:14" x14ac:dyDescent="0.3">
      <c r="I528" s="40"/>
      <c r="L528" s="46"/>
      <c r="M528" s="40"/>
      <c r="N528" s="40"/>
    </row>
    <row r="529" spans="9:14" x14ac:dyDescent="0.3">
      <c r="I529" s="40"/>
      <c r="L529" s="46"/>
      <c r="M529" s="40"/>
      <c r="N529" s="40"/>
    </row>
    <row r="530" spans="9:14" x14ac:dyDescent="0.3">
      <c r="I530" s="40"/>
      <c r="L530" s="46"/>
      <c r="M530" s="40"/>
      <c r="N530" s="40"/>
    </row>
    <row r="531" spans="9:14" x14ac:dyDescent="0.3">
      <c r="I531" s="40"/>
      <c r="L531" s="46"/>
      <c r="M531" s="40"/>
      <c r="N531" s="40"/>
    </row>
    <row r="532" spans="9:14" x14ac:dyDescent="0.3">
      <c r="I532" s="40"/>
      <c r="L532" s="46"/>
      <c r="M532" s="40"/>
      <c r="N532" s="40"/>
    </row>
    <row r="533" spans="9:14" x14ac:dyDescent="0.3">
      <c r="I533" s="40"/>
      <c r="L533" s="46"/>
      <c r="M533" s="40"/>
      <c r="N533" s="40"/>
    </row>
    <row r="534" spans="9:14" x14ac:dyDescent="0.3">
      <c r="I534" s="40"/>
      <c r="L534" s="46"/>
      <c r="M534" s="40"/>
      <c r="N534" s="40"/>
    </row>
    <row r="535" spans="9:14" x14ac:dyDescent="0.3">
      <c r="I535" s="40"/>
      <c r="L535" s="46"/>
      <c r="M535" s="40"/>
      <c r="N535" s="40"/>
    </row>
    <row r="536" spans="9:14" x14ac:dyDescent="0.3">
      <c r="I536" s="40"/>
      <c r="L536" s="46"/>
      <c r="M536" s="40"/>
      <c r="N536" s="40"/>
    </row>
    <row r="537" spans="9:14" x14ac:dyDescent="0.3">
      <c r="I537" s="40"/>
      <c r="L537" s="46"/>
      <c r="M537" s="40"/>
      <c r="N537" s="40"/>
    </row>
    <row r="538" spans="9:14" x14ac:dyDescent="0.3">
      <c r="I538" s="40"/>
      <c r="L538" s="46"/>
      <c r="M538" s="40"/>
      <c r="N538" s="40"/>
    </row>
    <row r="539" spans="9:14" x14ac:dyDescent="0.3">
      <c r="I539" s="40"/>
      <c r="L539" s="46"/>
      <c r="M539" s="40"/>
      <c r="N539" s="40"/>
    </row>
    <row r="540" spans="9:14" x14ac:dyDescent="0.3">
      <c r="I540" s="40"/>
      <c r="L540" s="46"/>
      <c r="M540" s="40"/>
      <c r="N540" s="40"/>
    </row>
    <row r="541" spans="9:14" x14ac:dyDescent="0.3">
      <c r="I541" s="40"/>
      <c r="L541" s="46"/>
      <c r="M541" s="40"/>
      <c r="N541" s="40"/>
    </row>
    <row r="542" spans="9:14" x14ac:dyDescent="0.3">
      <c r="I542" s="40"/>
      <c r="L542" s="46"/>
      <c r="M542" s="40"/>
      <c r="N542" s="40"/>
    </row>
    <row r="543" spans="9:14" x14ac:dyDescent="0.3">
      <c r="I543" s="40"/>
      <c r="L543" s="46"/>
      <c r="M543" s="40"/>
      <c r="N543" s="40"/>
    </row>
    <row r="544" spans="9:14" x14ac:dyDescent="0.3">
      <c r="I544" s="40"/>
      <c r="L544" s="46"/>
      <c r="M544" s="40"/>
      <c r="N544" s="40"/>
    </row>
    <row r="545" spans="9:14" x14ac:dyDescent="0.3">
      <c r="I545" s="40"/>
      <c r="L545" s="46"/>
      <c r="M545" s="40"/>
      <c r="N545" s="40"/>
    </row>
    <row r="546" spans="9:14" x14ac:dyDescent="0.3">
      <c r="I546" s="40"/>
      <c r="L546" s="46"/>
      <c r="M546" s="40"/>
      <c r="N546" s="40"/>
    </row>
    <row r="547" spans="9:14" x14ac:dyDescent="0.3">
      <c r="I547" s="40"/>
      <c r="L547" s="46"/>
      <c r="M547" s="40"/>
      <c r="N547" s="40"/>
    </row>
    <row r="548" spans="9:14" x14ac:dyDescent="0.3">
      <c r="I548" s="40"/>
      <c r="L548" s="46"/>
      <c r="M548" s="40"/>
      <c r="N548" s="40"/>
    </row>
    <row r="549" spans="9:14" x14ac:dyDescent="0.3">
      <c r="I549" s="40"/>
      <c r="L549" s="46"/>
      <c r="M549" s="40"/>
      <c r="N549" s="40"/>
    </row>
    <row r="550" spans="9:14" x14ac:dyDescent="0.3">
      <c r="I550" s="40"/>
      <c r="L550" s="46"/>
      <c r="M550" s="40"/>
      <c r="N550" s="40"/>
    </row>
    <row r="551" spans="9:14" x14ac:dyDescent="0.3">
      <c r="I551" s="40"/>
      <c r="L551" s="46"/>
      <c r="M551" s="40"/>
      <c r="N551" s="40"/>
    </row>
    <row r="552" spans="9:14" x14ac:dyDescent="0.3">
      <c r="I552" s="40"/>
      <c r="L552" s="46"/>
      <c r="M552" s="40"/>
      <c r="N552" s="40"/>
    </row>
    <row r="553" spans="9:14" x14ac:dyDescent="0.3">
      <c r="I553" s="40"/>
      <c r="L553" s="46"/>
      <c r="M553" s="40"/>
      <c r="N553" s="40"/>
    </row>
    <row r="554" spans="9:14" x14ac:dyDescent="0.3">
      <c r="I554" s="40"/>
      <c r="L554" s="46"/>
      <c r="M554" s="40"/>
      <c r="N554" s="40"/>
    </row>
    <row r="555" spans="9:14" x14ac:dyDescent="0.3">
      <c r="I555" s="40"/>
      <c r="L555" s="46"/>
      <c r="M555" s="40"/>
      <c r="N555" s="40"/>
    </row>
    <row r="556" spans="9:14" x14ac:dyDescent="0.3">
      <c r="I556" s="40"/>
      <c r="L556" s="46"/>
      <c r="M556" s="40"/>
      <c r="N556" s="40"/>
    </row>
    <row r="557" spans="9:14" x14ac:dyDescent="0.3">
      <c r="I557" s="40"/>
      <c r="L557" s="46"/>
      <c r="M557" s="40"/>
      <c r="N557" s="40"/>
    </row>
    <row r="558" spans="9:14" x14ac:dyDescent="0.3">
      <c r="I558" s="40"/>
      <c r="L558" s="46"/>
      <c r="M558" s="40"/>
      <c r="N558" s="40"/>
    </row>
    <row r="559" spans="9:14" x14ac:dyDescent="0.3">
      <c r="I559" s="40"/>
      <c r="L559" s="46"/>
      <c r="M559" s="40"/>
      <c r="N559" s="40"/>
    </row>
    <row r="560" spans="9:14" x14ac:dyDescent="0.3">
      <c r="I560" s="40"/>
      <c r="L560" s="46"/>
      <c r="M560" s="40"/>
      <c r="N560" s="40"/>
    </row>
    <row r="561" spans="9:14" x14ac:dyDescent="0.3">
      <c r="I561" s="40"/>
      <c r="L561" s="46"/>
      <c r="M561" s="40"/>
      <c r="N561" s="40"/>
    </row>
    <row r="562" spans="9:14" x14ac:dyDescent="0.3">
      <c r="I562" s="40"/>
      <c r="L562" s="46"/>
      <c r="M562" s="40"/>
      <c r="N562" s="40"/>
    </row>
    <row r="563" spans="9:14" x14ac:dyDescent="0.3">
      <c r="I563" s="40"/>
      <c r="L563" s="46"/>
      <c r="M563" s="40"/>
      <c r="N563" s="40"/>
    </row>
    <row r="564" spans="9:14" x14ac:dyDescent="0.3">
      <c r="I564" s="40"/>
      <c r="L564" s="46"/>
      <c r="M564" s="40"/>
      <c r="N564" s="40"/>
    </row>
    <row r="565" spans="9:14" x14ac:dyDescent="0.3">
      <c r="I565" s="40"/>
      <c r="L565" s="46"/>
      <c r="M565" s="40"/>
      <c r="N565" s="40"/>
    </row>
    <row r="566" spans="9:14" x14ac:dyDescent="0.3">
      <c r="I566" s="40"/>
      <c r="L566" s="46"/>
      <c r="M566" s="40"/>
      <c r="N566" s="40"/>
    </row>
    <row r="567" spans="9:14" x14ac:dyDescent="0.3">
      <c r="I567" s="40"/>
      <c r="L567" s="46"/>
      <c r="M567" s="40"/>
      <c r="N567" s="40"/>
    </row>
    <row r="568" spans="9:14" x14ac:dyDescent="0.3">
      <c r="I568" s="40"/>
      <c r="L568" s="46"/>
      <c r="M568" s="40"/>
      <c r="N568" s="40"/>
    </row>
    <row r="569" spans="9:14" x14ac:dyDescent="0.3">
      <c r="I569" s="40"/>
      <c r="L569" s="46"/>
      <c r="M569" s="40"/>
      <c r="N569" s="40"/>
    </row>
    <row r="570" spans="9:14" x14ac:dyDescent="0.3">
      <c r="I570" s="40"/>
      <c r="L570" s="46"/>
      <c r="M570" s="40"/>
      <c r="N570" s="40"/>
    </row>
    <row r="571" spans="9:14" x14ac:dyDescent="0.3">
      <c r="I571" s="40"/>
      <c r="L571" s="46"/>
      <c r="M571" s="40"/>
      <c r="N571" s="40"/>
    </row>
    <row r="572" spans="9:14" x14ac:dyDescent="0.3">
      <c r="I572" s="40"/>
      <c r="L572" s="46"/>
      <c r="M572" s="40"/>
      <c r="N572" s="40"/>
    </row>
    <row r="573" spans="9:14" x14ac:dyDescent="0.3">
      <c r="I573" s="40"/>
      <c r="L573" s="46"/>
      <c r="M573" s="40"/>
      <c r="N573" s="40"/>
    </row>
    <row r="574" spans="9:14" x14ac:dyDescent="0.3">
      <c r="I574" s="40"/>
      <c r="L574" s="46"/>
      <c r="M574" s="40"/>
      <c r="N574" s="40"/>
    </row>
    <row r="575" spans="9:14" x14ac:dyDescent="0.3">
      <c r="I575" s="40"/>
      <c r="L575" s="46"/>
      <c r="M575" s="40"/>
      <c r="N575" s="40"/>
    </row>
    <row r="576" spans="9:14" x14ac:dyDescent="0.3">
      <c r="I576" s="40"/>
      <c r="L576" s="46"/>
      <c r="M576" s="40"/>
      <c r="N576" s="40"/>
    </row>
    <row r="577" spans="9:14" x14ac:dyDescent="0.3">
      <c r="I577" s="40"/>
      <c r="L577" s="46"/>
      <c r="M577" s="40"/>
      <c r="N577" s="40"/>
    </row>
    <row r="578" spans="9:14" x14ac:dyDescent="0.3">
      <c r="I578" s="40"/>
      <c r="L578" s="46"/>
      <c r="M578" s="40"/>
      <c r="N578" s="40"/>
    </row>
    <row r="579" spans="9:14" x14ac:dyDescent="0.3">
      <c r="I579" s="40"/>
      <c r="L579" s="46"/>
      <c r="M579" s="40"/>
      <c r="N579" s="40"/>
    </row>
    <row r="580" spans="9:14" x14ac:dyDescent="0.3">
      <c r="I580" s="40"/>
      <c r="L580" s="46"/>
      <c r="M580" s="40"/>
      <c r="N580" s="40"/>
    </row>
    <row r="581" spans="9:14" x14ac:dyDescent="0.3">
      <c r="I581" s="40"/>
      <c r="L581" s="46"/>
      <c r="M581" s="40"/>
      <c r="N581" s="40"/>
    </row>
    <row r="582" spans="9:14" x14ac:dyDescent="0.3">
      <c r="I582" s="40"/>
      <c r="L582" s="46"/>
      <c r="M582" s="40"/>
      <c r="N582" s="40"/>
    </row>
    <row r="583" spans="9:14" x14ac:dyDescent="0.3">
      <c r="I583" s="40"/>
      <c r="L583" s="46"/>
      <c r="M583" s="40"/>
      <c r="N583" s="40"/>
    </row>
    <row r="584" spans="9:14" x14ac:dyDescent="0.3">
      <c r="I584" s="40"/>
      <c r="L584" s="46"/>
      <c r="M584" s="40"/>
      <c r="N584" s="40"/>
    </row>
    <row r="585" spans="9:14" x14ac:dyDescent="0.3">
      <c r="I585" s="40"/>
      <c r="L585" s="46"/>
      <c r="M585" s="40"/>
      <c r="N585" s="40"/>
    </row>
    <row r="586" spans="9:14" x14ac:dyDescent="0.3">
      <c r="I586" s="40"/>
      <c r="L586" s="46"/>
      <c r="M586" s="40"/>
      <c r="N586" s="40"/>
    </row>
    <row r="587" spans="9:14" x14ac:dyDescent="0.3">
      <c r="I587" s="40"/>
      <c r="L587" s="46"/>
      <c r="M587" s="40"/>
      <c r="N587" s="40"/>
    </row>
    <row r="588" spans="9:14" x14ac:dyDescent="0.3">
      <c r="I588" s="40"/>
      <c r="L588" s="46"/>
      <c r="M588" s="40"/>
      <c r="N588" s="40"/>
    </row>
    <row r="589" spans="9:14" x14ac:dyDescent="0.3">
      <c r="I589" s="40"/>
      <c r="L589" s="46"/>
      <c r="M589" s="40"/>
      <c r="N589" s="40"/>
    </row>
    <row r="590" spans="9:14" x14ac:dyDescent="0.3">
      <c r="I590" s="40"/>
      <c r="L590" s="46"/>
      <c r="M590" s="40"/>
      <c r="N590" s="40"/>
    </row>
    <row r="591" spans="9:14" x14ac:dyDescent="0.3">
      <c r="I591" s="40"/>
      <c r="L591" s="46"/>
      <c r="M591" s="40"/>
      <c r="N591" s="40"/>
    </row>
    <row r="592" spans="9:14" x14ac:dyDescent="0.3">
      <c r="I592" s="40"/>
      <c r="L592" s="46"/>
      <c r="M592" s="40"/>
      <c r="N592" s="40"/>
    </row>
    <row r="593" spans="9:14" x14ac:dyDescent="0.3">
      <c r="I593" s="40"/>
      <c r="L593" s="46"/>
      <c r="M593" s="40"/>
      <c r="N593" s="40"/>
    </row>
    <row r="594" spans="9:14" x14ac:dyDescent="0.3">
      <c r="I594" s="40"/>
      <c r="L594" s="46"/>
      <c r="M594" s="40"/>
      <c r="N594" s="40"/>
    </row>
    <row r="595" spans="9:14" x14ac:dyDescent="0.3">
      <c r="I595" s="40"/>
      <c r="L595" s="46"/>
      <c r="M595" s="40"/>
      <c r="N595" s="40"/>
    </row>
    <row r="596" spans="9:14" x14ac:dyDescent="0.3">
      <c r="I596" s="40"/>
      <c r="L596" s="46"/>
      <c r="M596" s="40"/>
      <c r="N596" s="40"/>
    </row>
    <row r="597" spans="9:14" x14ac:dyDescent="0.3">
      <c r="I597" s="40"/>
      <c r="L597" s="46"/>
      <c r="M597" s="40"/>
      <c r="N597" s="40"/>
    </row>
    <row r="598" spans="9:14" x14ac:dyDescent="0.3">
      <c r="I598" s="40"/>
      <c r="L598" s="46"/>
      <c r="M598" s="40"/>
      <c r="N598" s="40"/>
    </row>
    <row r="599" spans="9:14" x14ac:dyDescent="0.3">
      <c r="I599" s="40"/>
      <c r="L599" s="46"/>
      <c r="M599" s="40"/>
      <c r="N599" s="40"/>
    </row>
    <row r="600" spans="9:14" x14ac:dyDescent="0.3">
      <c r="I600" s="40"/>
      <c r="L600" s="46"/>
      <c r="M600" s="40"/>
      <c r="N600" s="40"/>
    </row>
    <row r="601" spans="9:14" x14ac:dyDescent="0.3">
      <c r="I601" s="40"/>
      <c r="L601" s="46"/>
      <c r="M601" s="40"/>
      <c r="N601" s="40"/>
    </row>
    <row r="602" spans="9:14" x14ac:dyDescent="0.3">
      <c r="I602" s="40"/>
      <c r="L602" s="46"/>
      <c r="M602" s="40"/>
      <c r="N602" s="40"/>
    </row>
    <row r="603" spans="9:14" x14ac:dyDescent="0.3">
      <c r="I603" s="40"/>
      <c r="L603" s="46"/>
      <c r="M603" s="40"/>
      <c r="N603" s="40"/>
    </row>
    <row r="604" spans="9:14" x14ac:dyDescent="0.3">
      <c r="I604" s="40"/>
      <c r="L604" s="46"/>
      <c r="M604" s="40"/>
      <c r="N604" s="40"/>
    </row>
    <row r="605" spans="9:14" x14ac:dyDescent="0.3">
      <c r="I605" s="40"/>
      <c r="L605" s="46"/>
      <c r="M605" s="40"/>
      <c r="N605" s="40"/>
    </row>
    <row r="606" spans="9:14" x14ac:dyDescent="0.3">
      <c r="I606" s="40"/>
      <c r="L606" s="46"/>
      <c r="M606" s="40"/>
      <c r="N606" s="40"/>
    </row>
    <row r="607" spans="9:14" x14ac:dyDescent="0.3">
      <c r="I607" s="40"/>
      <c r="L607" s="46"/>
      <c r="M607" s="40"/>
      <c r="N607" s="40"/>
    </row>
    <row r="608" spans="9:14" x14ac:dyDescent="0.3">
      <c r="I608" s="40"/>
      <c r="L608" s="46"/>
      <c r="M608" s="40"/>
      <c r="N608" s="40"/>
    </row>
    <row r="609" spans="9:14" x14ac:dyDescent="0.3">
      <c r="I609" s="40"/>
      <c r="L609" s="46"/>
      <c r="M609" s="40"/>
      <c r="N609" s="40"/>
    </row>
    <row r="610" spans="9:14" x14ac:dyDescent="0.3">
      <c r="I610" s="40"/>
      <c r="L610" s="46"/>
      <c r="M610" s="40"/>
      <c r="N610" s="40"/>
    </row>
    <row r="611" spans="9:14" x14ac:dyDescent="0.3">
      <c r="I611" s="40"/>
      <c r="L611" s="46"/>
      <c r="M611" s="40"/>
      <c r="N611" s="40"/>
    </row>
    <row r="612" spans="9:14" x14ac:dyDescent="0.3">
      <c r="I612" s="40"/>
      <c r="L612" s="46"/>
      <c r="M612" s="40"/>
      <c r="N612" s="40"/>
    </row>
    <row r="613" spans="9:14" x14ac:dyDescent="0.3">
      <c r="I613" s="40"/>
      <c r="L613" s="46"/>
      <c r="M613" s="40"/>
      <c r="N613" s="40"/>
    </row>
    <row r="614" spans="9:14" x14ac:dyDescent="0.3">
      <c r="I614" s="40"/>
      <c r="L614" s="46"/>
      <c r="M614" s="40"/>
      <c r="N614" s="40"/>
    </row>
    <row r="615" spans="9:14" x14ac:dyDescent="0.3">
      <c r="I615" s="40"/>
      <c r="L615" s="46"/>
      <c r="M615" s="40"/>
      <c r="N615" s="40"/>
    </row>
    <row r="616" spans="9:14" x14ac:dyDescent="0.3">
      <c r="I616" s="40"/>
      <c r="L616" s="46"/>
      <c r="M616" s="40"/>
      <c r="N616" s="40"/>
    </row>
    <row r="617" spans="9:14" x14ac:dyDescent="0.3">
      <c r="I617" s="40"/>
      <c r="L617" s="46"/>
      <c r="M617" s="40"/>
      <c r="N617" s="40"/>
    </row>
    <row r="618" spans="9:14" x14ac:dyDescent="0.3">
      <c r="I618" s="40"/>
      <c r="L618" s="46"/>
      <c r="M618" s="40"/>
      <c r="N618" s="40"/>
    </row>
    <row r="619" spans="9:14" x14ac:dyDescent="0.3">
      <c r="I619" s="40"/>
      <c r="L619" s="46"/>
      <c r="M619" s="40"/>
      <c r="N619" s="40"/>
    </row>
    <row r="620" spans="9:14" x14ac:dyDescent="0.3">
      <c r="I620" s="40"/>
      <c r="L620" s="46"/>
      <c r="M620" s="40"/>
      <c r="N620" s="40"/>
    </row>
    <row r="621" spans="9:14" x14ac:dyDescent="0.3">
      <c r="I621" s="40"/>
      <c r="L621" s="46"/>
      <c r="M621" s="40"/>
      <c r="N621" s="40"/>
    </row>
    <row r="622" spans="9:14" x14ac:dyDescent="0.3">
      <c r="I622" s="40"/>
      <c r="L622" s="46"/>
      <c r="M622" s="40"/>
      <c r="N622" s="40"/>
    </row>
    <row r="623" spans="9:14" x14ac:dyDescent="0.3">
      <c r="I623" s="40"/>
      <c r="L623" s="46"/>
      <c r="M623" s="40"/>
      <c r="N623" s="40"/>
    </row>
    <row r="624" spans="9:14" x14ac:dyDescent="0.3">
      <c r="I624" s="40"/>
      <c r="L624" s="46"/>
      <c r="M624" s="40"/>
      <c r="N624" s="40"/>
    </row>
    <row r="625" spans="9:14" x14ac:dyDescent="0.3">
      <c r="I625" s="40"/>
      <c r="L625" s="46"/>
      <c r="M625" s="40"/>
      <c r="N625" s="40"/>
    </row>
    <row r="626" spans="9:14" x14ac:dyDescent="0.3">
      <c r="I626" s="40"/>
      <c r="L626" s="46"/>
      <c r="M626" s="40"/>
      <c r="N626" s="40"/>
    </row>
    <row r="627" spans="9:14" x14ac:dyDescent="0.3">
      <c r="I627" s="40"/>
      <c r="L627" s="46"/>
      <c r="M627" s="40"/>
      <c r="N627" s="40"/>
    </row>
    <row r="628" spans="9:14" x14ac:dyDescent="0.3">
      <c r="I628" s="40"/>
      <c r="L628" s="46"/>
      <c r="M628" s="40"/>
      <c r="N628" s="40"/>
    </row>
    <row r="629" spans="9:14" x14ac:dyDescent="0.3">
      <c r="I629" s="40"/>
      <c r="L629" s="46"/>
      <c r="M629" s="40"/>
      <c r="N629" s="40"/>
    </row>
    <row r="630" spans="9:14" x14ac:dyDescent="0.3">
      <c r="I630" s="40"/>
      <c r="L630" s="46"/>
      <c r="M630" s="40"/>
      <c r="N630" s="40"/>
    </row>
    <row r="631" spans="9:14" x14ac:dyDescent="0.3">
      <c r="I631" s="40"/>
      <c r="L631" s="46"/>
      <c r="M631" s="40"/>
      <c r="N631" s="40"/>
    </row>
    <row r="632" spans="9:14" x14ac:dyDescent="0.3">
      <c r="M632" s="40"/>
      <c r="N632" s="40"/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47"/>
  <sheetViews>
    <sheetView zoomScale="75" zoomScaleNormal="75" workbookViewId="0">
      <selection activeCell="O41" sqref="O41"/>
    </sheetView>
  </sheetViews>
  <sheetFormatPr defaultColWidth="8.81640625" defaultRowHeight="13" x14ac:dyDescent="0.3"/>
  <cols>
    <col min="1" max="7" width="8.81640625" style="3"/>
    <col min="8" max="8" width="9.90625" style="12" bestFit="1" customWidth="1"/>
    <col min="9" max="9" width="8.81640625" style="19"/>
    <col min="10" max="12" width="8.81640625" style="3"/>
    <col min="13" max="14" width="8.81640625" style="25"/>
    <col min="15" max="15" width="16.81640625" style="3" bestFit="1" customWidth="1"/>
    <col min="16" max="16" width="11.6328125" style="19" bestFit="1" customWidth="1"/>
    <col min="17" max="17" width="8.81640625" style="3"/>
    <col min="18" max="18" width="40" style="3" bestFit="1" customWidth="1"/>
    <col min="19" max="16384" width="8.81640625" style="3"/>
  </cols>
  <sheetData>
    <row r="1" spans="1:20" customFormat="1" ht="15.5" x14ac:dyDescent="0.35">
      <c r="A1" s="14" t="s">
        <v>26</v>
      </c>
      <c r="G1" s="11"/>
      <c r="H1" s="8"/>
      <c r="L1" s="26"/>
      <c r="M1" s="26"/>
      <c r="N1" s="3"/>
      <c r="O1" s="16"/>
      <c r="P1" s="18"/>
    </row>
    <row r="2" spans="1:20" customFormat="1" ht="15.5" x14ac:dyDescent="0.35">
      <c r="A2" s="14" t="s">
        <v>0</v>
      </c>
      <c r="H2" s="11"/>
      <c r="I2" s="8"/>
      <c r="M2" s="26"/>
      <c r="N2" s="26"/>
      <c r="O2" s="3"/>
      <c r="P2" s="16"/>
      <c r="Q2" s="18"/>
    </row>
    <row r="3" spans="1:20" customFormat="1" ht="15.5" x14ac:dyDescent="0.35">
      <c r="A3" s="13" t="s">
        <v>24</v>
      </c>
      <c r="H3" s="11"/>
      <c r="I3" s="8"/>
      <c r="M3" s="26"/>
      <c r="N3" s="26"/>
      <c r="O3" s="3"/>
      <c r="P3" s="16"/>
      <c r="Q3" s="18"/>
    </row>
    <row r="4" spans="1:20" customFormat="1" ht="15.5" x14ac:dyDescent="0.35">
      <c r="A4" s="13" t="s">
        <v>25</v>
      </c>
      <c r="M4" s="8"/>
      <c r="N4" s="8"/>
      <c r="P4" s="16"/>
      <c r="Q4" s="18"/>
    </row>
    <row r="5" spans="1:20" customFormat="1" x14ac:dyDescent="0.3">
      <c r="A5" s="1"/>
      <c r="C5" s="3"/>
      <c r="F5" s="12"/>
      <c r="H5" s="11"/>
      <c r="I5" s="8"/>
      <c r="M5" s="25"/>
      <c r="N5" s="25"/>
      <c r="O5" s="3"/>
      <c r="P5" s="16"/>
      <c r="Q5" s="17"/>
      <c r="R5" s="3"/>
      <c r="S5" s="3"/>
      <c r="T5" s="3"/>
    </row>
    <row r="6" spans="1:20" customFormat="1" x14ac:dyDescent="0.3">
      <c r="A6" s="1"/>
      <c r="B6" s="8" t="s">
        <v>14</v>
      </c>
      <c r="C6" s="3"/>
      <c r="F6" s="8" t="s">
        <v>15</v>
      </c>
      <c r="H6" s="12"/>
      <c r="I6" s="8"/>
      <c r="M6" s="25"/>
      <c r="N6" s="25"/>
      <c r="O6" s="3"/>
      <c r="P6" s="16"/>
      <c r="Q6" s="17"/>
      <c r="R6" s="3"/>
      <c r="S6" s="2"/>
      <c r="T6" s="4"/>
    </row>
    <row r="7" spans="1:20" s="31" customFormat="1" ht="13.5" thickBot="1" x14ac:dyDescent="0.35">
      <c r="A7" s="27" t="s">
        <v>2</v>
      </c>
      <c r="B7" s="28" t="s">
        <v>3</v>
      </c>
      <c r="C7" s="28" t="s">
        <v>4</v>
      </c>
      <c r="D7" s="28" t="s">
        <v>5</v>
      </c>
      <c r="E7" s="28" t="s">
        <v>6</v>
      </c>
      <c r="F7" s="28" t="s">
        <v>5</v>
      </c>
      <c r="G7" s="28" t="s">
        <v>6</v>
      </c>
      <c r="H7" s="28" t="s">
        <v>7</v>
      </c>
      <c r="I7" s="28" t="s">
        <v>8</v>
      </c>
      <c r="J7" s="28" t="s">
        <v>9</v>
      </c>
      <c r="K7" s="28" t="s">
        <v>10</v>
      </c>
      <c r="L7" s="28" t="s">
        <v>11</v>
      </c>
      <c r="M7" s="22" t="s">
        <v>12</v>
      </c>
      <c r="N7" s="22" t="s">
        <v>13</v>
      </c>
      <c r="O7" s="23" t="s">
        <v>16</v>
      </c>
      <c r="P7" s="24" t="s">
        <v>17</v>
      </c>
      <c r="Q7" s="29" t="s">
        <v>18</v>
      </c>
      <c r="R7" s="23" t="s">
        <v>19</v>
      </c>
      <c r="S7" s="30"/>
      <c r="T7" s="30"/>
    </row>
    <row r="8" spans="1:20" customFormat="1" x14ac:dyDescent="0.3">
      <c r="A8" s="33">
        <v>500890</v>
      </c>
      <c r="B8" s="33">
        <v>100</v>
      </c>
      <c r="C8" s="33">
        <v>7</v>
      </c>
      <c r="D8" s="33">
        <v>3.05</v>
      </c>
      <c r="E8" s="33">
        <v>1.6</v>
      </c>
      <c r="F8" s="33">
        <v>3.05</v>
      </c>
      <c r="G8" s="33">
        <v>1.6</v>
      </c>
      <c r="H8" s="33">
        <v>2.0824520395634091E-2</v>
      </c>
      <c r="I8" s="5">
        <v>0.5450660645674249</v>
      </c>
      <c r="J8" s="61">
        <v>0.20196796312632304</v>
      </c>
      <c r="K8" s="61">
        <v>0.74703402769374794</v>
      </c>
      <c r="L8" s="61">
        <v>2.698774875629693</v>
      </c>
      <c r="M8" s="32">
        <v>0.51687299226221328</v>
      </c>
      <c r="N8" s="32">
        <v>0.19514381538339026</v>
      </c>
      <c r="O8" s="9"/>
      <c r="P8" s="16"/>
      <c r="Q8" s="17"/>
      <c r="R8" s="3" t="s">
        <v>27</v>
      </c>
      <c r="S8" s="3"/>
      <c r="T8" s="3"/>
    </row>
    <row r="9" spans="1:20" customFormat="1" x14ac:dyDescent="0.3">
      <c r="A9" s="12"/>
      <c r="B9" s="12">
        <v>100</v>
      </c>
      <c r="C9" s="12">
        <v>7</v>
      </c>
      <c r="D9" s="12">
        <v>2.75</v>
      </c>
      <c r="E9" s="12">
        <v>1.45</v>
      </c>
      <c r="F9" s="12">
        <v>2.75</v>
      </c>
      <c r="G9" s="12">
        <v>1.45</v>
      </c>
      <c r="H9" s="12">
        <v>2.0824520395634091E-2</v>
      </c>
      <c r="I9" s="8">
        <v>0.48867991995700172</v>
      </c>
      <c r="J9">
        <v>0.18831966764045752</v>
      </c>
      <c r="K9">
        <v>0.67699958759745926</v>
      </c>
      <c r="L9">
        <v>2.5949489295509807</v>
      </c>
      <c r="M9" s="25"/>
      <c r="N9" s="25"/>
      <c r="O9" s="9"/>
      <c r="P9" s="16"/>
      <c r="Q9" s="17"/>
      <c r="R9" s="3"/>
      <c r="S9" s="3"/>
      <c r="T9" s="3"/>
    </row>
    <row r="10" spans="1:20" x14ac:dyDescent="0.3">
      <c r="A10" s="3">
        <v>500891</v>
      </c>
      <c r="B10" s="3">
        <v>100</v>
      </c>
      <c r="C10" s="3">
        <v>6</v>
      </c>
      <c r="D10" s="3">
        <v>6</v>
      </c>
      <c r="E10" s="3">
        <v>3.1</v>
      </c>
      <c r="F10" s="3">
        <v>6</v>
      </c>
      <c r="G10" s="3">
        <v>3.1</v>
      </c>
      <c r="H10" s="12">
        <v>6.4908340024585107E-2</v>
      </c>
      <c r="I10" s="19">
        <v>3.3978533750263211</v>
      </c>
      <c r="J10" s="3">
        <v>1.1135077226914851</v>
      </c>
      <c r="K10" s="3">
        <v>4.5113610977178062</v>
      </c>
      <c r="L10" s="3">
        <v>3.0514861332198859</v>
      </c>
      <c r="M10" s="25">
        <v>3.5443125722257323</v>
      </c>
      <c r="N10" s="25">
        <v>0.93066658115564116</v>
      </c>
    </row>
    <row r="11" spans="1:20" x14ac:dyDescent="0.3">
      <c r="B11" s="3">
        <v>100</v>
      </c>
      <c r="C11" s="3">
        <v>6</v>
      </c>
      <c r="D11" s="3">
        <v>6.2</v>
      </c>
      <c r="E11" s="3">
        <v>3.05</v>
      </c>
      <c r="F11" s="3">
        <v>6.2</v>
      </c>
      <c r="G11" s="3">
        <v>3.05</v>
      </c>
      <c r="H11" s="12">
        <v>6.4908340024585107E-2</v>
      </c>
      <c r="I11" s="19">
        <v>3.690771769425143</v>
      </c>
      <c r="J11" s="3">
        <v>0.74782543961979708</v>
      </c>
      <c r="K11" s="3">
        <v>4.4385972090449402</v>
      </c>
      <c r="L11" s="3">
        <v>4.9353386149869056</v>
      </c>
    </row>
    <row r="12" spans="1:20" x14ac:dyDescent="0.3">
      <c r="A12" s="3">
        <v>500892</v>
      </c>
      <c r="B12" s="3">
        <v>100</v>
      </c>
      <c r="C12" s="3">
        <v>6</v>
      </c>
      <c r="D12" s="3">
        <v>7.4</v>
      </c>
      <c r="E12" s="3">
        <v>3.65</v>
      </c>
      <c r="F12" s="3">
        <v>7.4</v>
      </c>
      <c r="G12" s="3">
        <v>3.65</v>
      </c>
      <c r="H12" s="12">
        <v>6.4908340024585107E-2</v>
      </c>
      <c r="I12" s="19">
        <v>4.3937759159823138</v>
      </c>
      <c r="J12" s="3">
        <v>0.9179879571370414</v>
      </c>
      <c r="K12" s="3">
        <v>5.3117638731193555</v>
      </c>
      <c r="L12" s="3">
        <v>4.7863110641291247</v>
      </c>
      <c r="M12" s="25">
        <v>4.364484076542432</v>
      </c>
      <c r="N12" s="25">
        <v>0.80175201923118844</v>
      </c>
    </row>
    <row r="13" spans="1:20" x14ac:dyDescent="0.3">
      <c r="B13" s="3">
        <v>100</v>
      </c>
      <c r="C13" s="3">
        <v>6</v>
      </c>
      <c r="D13" s="3">
        <v>7.15</v>
      </c>
      <c r="E13" s="3">
        <v>3.45</v>
      </c>
      <c r="F13" s="3">
        <v>7.15</v>
      </c>
      <c r="G13" s="3">
        <v>3.45</v>
      </c>
      <c r="H13" s="12">
        <v>6.4908340024585107E-2</v>
      </c>
      <c r="I13" s="19">
        <v>4.3351922371025493</v>
      </c>
      <c r="J13" s="3">
        <v>0.68551608132533559</v>
      </c>
      <c r="K13" s="3">
        <v>5.0207083184278849</v>
      </c>
      <c r="L13" s="3">
        <v>6.323983280919026</v>
      </c>
    </row>
    <row r="14" spans="1:20" x14ac:dyDescent="0.3">
      <c r="A14" s="3">
        <v>500893</v>
      </c>
      <c r="B14" s="3">
        <v>100</v>
      </c>
      <c r="C14" s="3">
        <v>6</v>
      </c>
      <c r="D14" s="3">
        <v>5.45</v>
      </c>
      <c r="E14" s="3">
        <v>2.65</v>
      </c>
      <c r="F14" s="3">
        <v>5.45</v>
      </c>
      <c r="G14" s="3">
        <v>2.65</v>
      </c>
      <c r="H14" s="12">
        <v>6.4908340024585107E-2</v>
      </c>
      <c r="I14" s="19">
        <v>3.2806860172667935</v>
      </c>
      <c r="J14" s="3">
        <v>0.57580008239520331</v>
      </c>
      <c r="K14" s="3">
        <v>3.8564860996619967</v>
      </c>
      <c r="L14" s="3">
        <v>5.6976129694526128</v>
      </c>
      <c r="M14" s="25">
        <v>3.1342268200673833</v>
      </c>
      <c r="N14" s="25">
        <v>0.50396761357601005</v>
      </c>
    </row>
    <row r="15" spans="1:20" x14ac:dyDescent="0.3">
      <c r="B15" s="3">
        <v>100</v>
      </c>
      <c r="C15" s="3">
        <v>6</v>
      </c>
      <c r="D15" s="3">
        <v>4.9000000000000004</v>
      </c>
      <c r="E15" s="3">
        <v>2.35</v>
      </c>
      <c r="F15" s="3">
        <v>4.9000000000000004</v>
      </c>
      <c r="G15" s="3">
        <v>2.35</v>
      </c>
      <c r="H15" s="12">
        <v>6.4908340024585107E-2</v>
      </c>
      <c r="I15" s="19">
        <v>2.987767622867973</v>
      </c>
      <c r="J15" s="3">
        <v>0.43213514475681691</v>
      </c>
      <c r="K15" s="3">
        <v>3.41990276762479</v>
      </c>
      <c r="L15" s="3">
        <v>6.9139658255505525</v>
      </c>
    </row>
    <row r="16" spans="1:20" x14ac:dyDescent="0.3">
      <c r="A16" s="3">
        <v>500895</v>
      </c>
      <c r="B16" s="3">
        <v>100</v>
      </c>
      <c r="C16" s="3">
        <v>7</v>
      </c>
      <c r="D16" s="3">
        <v>6.7</v>
      </c>
      <c r="E16" s="3">
        <v>3.6</v>
      </c>
      <c r="F16" s="3">
        <v>6.7</v>
      </c>
      <c r="G16" s="3">
        <v>3.6</v>
      </c>
      <c r="H16" s="12">
        <v>2.0824520395634091E-2</v>
      </c>
      <c r="I16" s="19">
        <v>1.1653136552820811</v>
      </c>
      <c r="J16" s="3">
        <v>0.51551290702885211</v>
      </c>
      <c r="K16" s="3">
        <v>1.6808265623109331</v>
      </c>
      <c r="L16" s="3">
        <v>2.2604936547531702</v>
      </c>
      <c r="M16" s="25">
        <v>1.2404951814293121</v>
      </c>
      <c r="N16" s="25">
        <v>0.53371063434333954</v>
      </c>
    </row>
    <row r="17" spans="1:14" x14ac:dyDescent="0.3">
      <c r="B17" s="3">
        <v>100</v>
      </c>
      <c r="C17" s="3">
        <v>7</v>
      </c>
      <c r="D17" s="3">
        <v>7.5</v>
      </c>
      <c r="E17" s="3">
        <v>4</v>
      </c>
      <c r="F17" s="3">
        <v>7.5</v>
      </c>
      <c r="G17" s="3">
        <v>4</v>
      </c>
      <c r="H17" s="12">
        <v>2.0824520395634091E-2</v>
      </c>
      <c r="I17" s="19">
        <v>1.315676707576543</v>
      </c>
      <c r="J17" s="3">
        <v>0.55190836165782697</v>
      </c>
      <c r="K17" s="3">
        <v>1.8675850692343698</v>
      </c>
      <c r="L17" s="3">
        <v>2.3838680458192409</v>
      </c>
    </row>
    <row r="18" spans="1:14" x14ac:dyDescent="0.3">
      <c r="A18" s="3">
        <v>500896</v>
      </c>
      <c r="B18" s="3">
        <v>100</v>
      </c>
      <c r="C18" s="3">
        <v>5</v>
      </c>
      <c r="D18" s="3">
        <v>4.05</v>
      </c>
      <c r="E18" s="3">
        <v>2</v>
      </c>
      <c r="F18" s="3">
        <v>4.05</v>
      </c>
      <c r="G18" s="3">
        <v>2</v>
      </c>
      <c r="H18" s="12">
        <v>0.23412067934121802</v>
      </c>
      <c r="I18" s="19">
        <v>8.6636274843905738</v>
      </c>
      <c r="J18" s="3">
        <v>1.8345803213540159</v>
      </c>
      <c r="K18" s="3">
        <v>10.49820780574459</v>
      </c>
      <c r="L18" s="3">
        <v>4.7224029297318335</v>
      </c>
      <c r="M18" s="25">
        <v>8.4523194969664139</v>
      </c>
      <c r="N18" s="25">
        <v>2.0458883087781761</v>
      </c>
    </row>
    <row r="19" spans="1:14" x14ac:dyDescent="0.3">
      <c r="B19" s="3">
        <v>100</v>
      </c>
      <c r="C19" s="3">
        <v>5</v>
      </c>
      <c r="D19" s="3">
        <v>3.95</v>
      </c>
      <c r="E19" s="3">
        <v>2</v>
      </c>
      <c r="F19" s="3">
        <v>3.95</v>
      </c>
      <c r="G19" s="3">
        <v>2</v>
      </c>
      <c r="H19" s="12">
        <v>0.23412067934121802</v>
      </c>
      <c r="I19" s="19">
        <v>8.241011509542254</v>
      </c>
      <c r="J19" s="3">
        <v>2.2571962962023364</v>
      </c>
      <c r="K19" s="3">
        <v>10.49820780574459</v>
      </c>
      <c r="L19" s="3">
        <v>3.6509946092891892</v>
      </c>
    </row>
    <row r="20" spans="1:14" x14ac:dyDescent="0.3">
      <c r="A20" s="3">
        <v>500897</v>
      </c>
      <c r="B20" s="3">
        <v>100</v>
      </c>
      <c r="C20" s="3">
        <v>5</v>
      </c>
      <c r="D20" s="3">
        <v>6.1</v>
      </c>
      <c r="E20" s="3">
        <v>3</v>
      </c>
      <c r="F20" s="3">
        <v>6.1</v>
      </c>
      <c r="G20" s="3">
        <v>3</v>
      </c>
      <c r="H20" s="12">
        <v>0.23412067934121802</v>
      </c>
      <c r="I20" s="19">
        <v>13.101095220297941</v>
      </c>
      <c r="J20" s="3">
        <v>2.6462164883189438</v>
      </c>
      <c r="K20" s="3">
        <v>15.747311708616884</v>
      </c>
      <c r="L20" s="3">
        <v>4.9508780850430893</v>
      </c>
      <c r="M20" s="25">
        <v>12.889787232873779</v>
      </c>
      <c r="N20" s="25">
        <v>2.4638416830276837</v>
      </c>
    </row>
    <row r="21" spans="1:14" x14ac:dyDescent="0.3">
      <c r="B21" s="3">
        <v>100</v>
      </c>
      <c r="C21" s="3">
        <v>5</v>
      </c>
      <c r="D21" s="3">
        <v>5.85</v>
      </c>
      <c r="E21" s="3">
        <v>2.85</v>
      </c>
      <c r="F21" s="3">
        <v>5.85</v>
      </c>
      <c r="G21" s="3">
        <v>2.85</v>
      </c>
      <c r="H21" s="12">
        <v>0.23412067934121802</v>
      </c>
      <c r="I21" s="19">
        <v>12.678479245449619</v>
      </c>
      <c r="J21" s="3">
        <v>2.281466877736424</v>
      </c>
      <c r="K21" s="3">
        <v>14.959946123186043</v>
      </c>
      <c r="L21" s="3">
        <v>5.5571612146430445</v>
      </c>
    </row>
    <row r="22" spans="1:14" x14ac:dyDescent="0.3">
      <c r="A22" s="3">
        <v>500898</v>
      </c>
      <c r="B22" s="3">
        <v>100</v>
      </c>
      <c r="C22" s="3">
        <v>4</v>
      </c>
      <c r="D22" s="3">
        <v>3.15</v>
      </c>
      <c r="E22" s="3">
        <v>1.55</v>
      </c>
      <c r="F22" s="3">
        <v>3.15</v>
      </c>
      <c r="G22" s="3">
        <v>1.55</v>
      </c>
      <c r="H22" s="12">
        <v>0.70700309925927085</v>
      </c>
      <c r="I22" s="19">
        <v>20.419609569218416</v>
      </c>
      <c r="J22" s="3">
        <v>4.1500087321901704</v>
      </c>
      <c r="K22" s="3">
        <v>24.569618301408585</v>
      </c>
      <c r="L22" s="3">
        <v>4.920377494830463</v>
      </c>
      <c r="M22" s="25">
        <v>21.057722368256492</v>
      </c>
      <c r="N22" s="25">
        <v>3.908180099303852</v>
      </c>
    </row>
    <row r="23" spans="1:14" x14ac:dyDescent="0.3">
      <c r="B23" s="3">
        <v>100</v>
      </c>
      <c r="C23" s="3">
        <v>4</v>
      </c>
      <c r="D23" s="3">
        <v>3.3</v>
      </c>
      <c r="E23" s="3">
        <v>1.6</v>
      </c>
      <c r="F23" s="3">
        <v>3.3</v>
      </c>
      <c r="G23" s="3">
        <v>1.6</v>
      </c>
      <c r="H23" s="12">
        <v>0.70700309925927085</v>
      </c>
      <c r="I23" s="19">
        <v>21.695835167294568</v>
      </c>
      <c r="J23" s="3">
        <v>3.6663514664175341</v>
      </c>
      <c r="K23" s="3">
        <v>25.362186633712103</v>
      </c>
      <c r="L23" s="3">
        <v>5.917554649634833</v>
      </c>
    </row>
    <row r="24" spans="1:14" x14ac:dyDescent="0.3">
      <c r="A24" s="3">
        <v>500900</v>
      </c>
      <c r="B24" s="3">
        <v>100</v>
      </c>
      <c r="C24" s="3">
        <v>6</v>
      </c>
      <c r="D24" s="3">
        <v>2.75</v>
      </c>
      <c r="E24" s="3">
        <v>1.6</v>
      </c>
      <c r="F24" s="3">
        <v>2.75</v>
      </c>
      <c r="G24" s="3">
        <v>1.6</v>
      </c>
      <c r="H24" s="12">
        <v>6.4908340024585107E-2</v>
      </c>
      <c r="I24" s="19">
        <v>1.3474246142345754</v>
      </c>
      <c r="J24" s="3">
        <v>0.98101982329719561</v>
      </c>
      <c r="K24" s="3">
        <v>2.328444437531771</v>
      </c>
      <c r="L24" s="3">
        <v>1.3734937686640192</v>
      </c>
      <c r="M24" s="25">
        <v>1.2888409353548114</v>
      </c>
      <c r="N24" s="25">
        <v>0.93045766916765782</v>
      </c>
    </row>
    <row r="25" spans="1:14" x14ac:dyDescent="0.3">
      <c r="B25" s="3">
        <v>100</v>
      </c>
      <c r="C25" s="3">
        <v>6</v>
      </c>
      <c r="D25" s="3">
        <v>2.5</v>
      </c>
      <c r="E25" s="3">
        <v>1.45</v>
      </c>
      <c r="F25" s="3">
        <v>2.5</v>
      </c>
      <c r="G25" s="3">
        <v>1.45</v>
      </c>
      <c r="H25" s="12">
        <v>6.4908340024585107E-2</v>
      </c>
      <c r="I25" s="19">
        <v>1.2302572564750474</v>
      </c>
      <c r="J25" s="3">
        <v>0.87989551503812014</v>
      </c>
      <c r="K25" s="3">
        <v>2.1101527715131674</v>
      </c>
      <c r="L25" s="3">
        <v>1.3981856202798673</v>
      </c>
    </row>
    <row r="26" spans="1:14" x14ac:dyDescent="0.3">
      <c r="A26" s="3">
        <v>500901</v>
      </c>
      <c r="B26" s="3">
        <v>100</v>
      </c>
      <c r="C26" s="3">
        <v>5</v>
      </c>
      <c r="D26" s="3">
        <v>4.3499999999999996</v>
      </c>
      <c r="E26" s="3">
        <v>2.1</v>
      </c>
      <c r="F26" s="3">
        <v>4.3499999999999996</v>
      </c>
      <c r="G26" s="3">
        <v>2.1</v>
      </c>
      <c r="H26" s="12">
        <v>0.23412067934121802</v>
      </c>
      <c r="I26" s="19">
        <v>9.5088594340872135</v>
      </c>
      <c r="J26" s="3">
        <v>1.5142587619446066</v>
      </c>
      <c r="K26" s="3">
        <v>11.02311819603182</v>
      </c>
      <c r="L26" s="3">
        <v>6.2795472432175092</v>
      </c>
      <c r="M26" s="25">
        <v>9.4032054403751353</v>
      </c>
      <c r="N26" s="25">
        <v>2.0135955483721082</v>
      </c>
    </row>
    <row r="27" spans="1:14" x14ac:dyDescent="0.3">
      <c r="B27" s="3">
        <v>100</v>
      </c>
      <c r="C27" s="3">
        <v>5</v>
      </c>
      <c r="D27" s="3">
        <v>4.45</v>
      </c>
      <c r="E27" s="3">
        <v>2.25</v>
      </c>
      <c r="F27" s="3">
        <v>4.45</v>
      </c>
      <c r="G27" s="3">
        <v>2.25</v>
      </c>
      <c r="H27" s="12">
        <v>0.23412067934121802</v>
      </c>
      <c r="I27" s="19">
        <v>9.2975514466630553</v>
      </c>
      <c r="J27" s="3">
        <v>2.5129323347996095</v>
      </c>
      <c r="K27" s="3">
        <v>11.810483781462665</v>
      </c>
      <c r="L27" s="3">
        <v>3.6998813369976697</v>
      </c>
    </row>
    <row r="28" spans="1:14" x14ac:dyDescent="0.3">
      <c r="A28" s="3">
        <v>500902</v>
      </c>
      <c r="B28" s="3">
        <v>100</v>
      </c>
      <c r="C28" s="3">
        <v>4</v>
      </c>
      <c r="D28" s="3">
        <v>3.9</v>
      </c>
      <c r="E28" s="3">
        <v>1.9</v>
      </c>
      <c r="F28" s="3">
        <v>3.9</v>
      </c>
      <c r="G28" s="3">
        <v>1.9</v>
      </c>
      <c r="H28" s="12">
        <v>0.70700309925927085</v>
      </c>
      <c r="I28" s="19">
        <v>25.524511961523025</v>
      </c>
      <c r="J28" s="3">
        <v>4.5930846660100917</v>
      </c>
      <c r="K28" s="3">
        <v>30.117596627533118</v>
      </c>
      <c r="L28" s="3">
        <v>5.5571612146430533</v>
      </c>
      <c r="M28" s="25">
        <v>25.205455562003987</v>
      </c>
      <c r="N28" s="25">
        <v>4.9121410655291289</v>
      </c>
    </row>
    <row r="29" spans="1:14" x14ac:dyDescent="0.3">
      <c r="B29" s="3">
        <v>100</v>
      </c>
      <c r="C29" s="3">
        <v>4</v>
      </c>
      <c r="D29" s="3">
        <v>3.85</v>
      </c>
      <c r="E29" s="3">
        <v>1.9</v>
      </c>
      <c r="F29" s="3">
        <v>3.85</v>
      </c>
      <c r="G29" s="3">
        <v>1.9</v>
      </c>
      <c r="H29" s="12">
        <v>0.70700309925927085</v>
      </c>
      <c r="I29" s="19">
        <v>24.886399162484949</v>
      </c>
      <c r="J29" s="3">
        <v>5.2311974650481661</v>
      </c>
      <c r="K29" s="3">
        <v>30.117596627533114</v>
      </c>
      <c r="L29" s="3">
        <v>4.7573044850173343</v>
      </c>
    </row>
    <row r="30" spans="1:14" x14ac:dyDescent="0.3">
      <c r="A30" s="3">
        <v>500903</v>
      </c>
      <c r="B30" s="3">
        <v>100</v>
      </c>
      <c r="C30" s="3">
        <v>4</v>
      </c>
      <c r="D30" s="3">
        <v>2</v>
      </c>
      <c r="E30" s="3">
        <v>1</v>
      </c>
      <c r="F30" s="3">
        <v>2</v>
      </c>
      <c r="G30" s="3">
        <v>1</v>
      </c>
      <c r="H30" s="12">
        <v>0.70700309925927085</v>
      </c>
      <c r="I30" s="19">
        <v>12.762255980761513</v>
      </c>
      <c r="J30" s="3">
        <v>3.0891106653085485</v>
      </c>
      <c r="K30" s="3">
        <v>15.851366646070062</v>
      </c>
      <c r="L30" s="3">
        <v>4.131368980750576</v>
      </c>
      <c r="M30" s="25">
        <v>12.443199581242474</v>
      </c>
      <c r="N30" s="25">
        <v>3.0118828986758346</v>
      </c>
    </row>
    <row r="31" spans="1:14" x14ac:dyDescent="0.3">
      <c r="B31" s="3">
        <v>100</v>
      </c>
      <c r="C31" s="3">
        <v>4</v>
      </c>
      <c r="D31" s="3">
        <v>1.9</v>
      </c>
      <c r="E31" s="3">
        <v>0.95</v>
      </c>
      <c r="F31" s="3">
        <v>1.9</v>
      </c>
      <c r="G31" s="3">
        <v>0.95</v>
      </c>
      <c r="H31" s="12">
        <v>0.70700309925927085</v>
      </c>
      <c r="I31" s="19">
        <v>12.124143181723436</v>
      </c>
      <c r="J31" s="3">
        <v>2.9346551320431207</v>
      </c>
      <c r="K31" s="3">
        <v>15.058798313766557</v>
      </c>
      <c r="L31" s="3">
        <v>4.1313689807505769</v>
      </c>
    </row>
    <row r="32" spans="1:14" x14ac:dyDescent="0.3">
      <c r="A32" s="3">
        <v>500905</v>
      </c>
      <c r="B32" s="3">
        <v>100</v>
      </c>
      <c r="C32" s="3">
        <v>6</v>
      </c>
      <c r="D32" s="3">
        <v>3.25</v>
      </c>
      <c r="E32" s="3">
        <v>1.8</v>
      </c>
      <c r="F32" s="3">
        <v>3.25</v>
      </c>
      <c r="G32" s="3">
        <v>1.8</v>
      </c>
      <c r="H32" s="12">
        <v>6.4908340024585107E-2</v>
      </c>
      <c r="I32" s="19">
        <v>1.6989266875131606</v>
      </c>
      <c r="J32" s="3">
        <v>0.92057330471008159</v>
      </c>
      <c r="K32" s="3">
        <v>2.619499992223242</v>
      </c>
      <c r="L32" s="3">
        <v>1.8455094003059405</v>
      </c>
      <c r="M32" s="25">
        <v>1.7282185269530426</v>
      </c>
      <c r="N32" s="25">
        <v>0.92766340960663352</v>
      </c>
    </row>
    <row r="33" spans="1:18" x14ac:dyDescent="0.3">
      <c r="B33" s="3">
        <v>100</v>
      </c>
      <c r="C33" s="3">
        <v>6</v>
      </c>
      <c r="D33" s="3">
        <v>3.35</v>
      </c>
      <c r="E33" s="3">
        <v>1.85</v>
      </c>
      <c r="F33" s="3">
        <v>3.35</v>
      </c>
      <c r="G33" s="3">
        <v>1.85</v>
      </c>
      <c r="H33" s="12">
        <v>6.4908340024585107E-2</v>
      </c>
      <c r="I33" s="19">
        <v>1.7575103663929246</v>
      </c>
      <c r="J33" s="3">
        <v>0.93475351450318545</v>
      </c>
      <c r="K33" s="3">
        <v>2.6922638808961099</v>
      </c>
      <c r="L33" s="3">
        <v>1.8801858876422928</v>
      </c>
    </row>
    <row r="34" spans="1:18" x14ac:dyDescent="0.3">
      <c r="A34" s="3">
        <v>500906</v>
      </c>
      <c r="B34" s="3">
        <v>100</v>
      </c>
      <c r="C34" s="3">
        <v>8</v>
      </c>
      <c r="D34" s="3">
        <v>2.75</v>
      </c>
      <c r="E34" s="3">
        <v>1.4</v>
      </c>
      <c r="F34" s="3">
        <v>2.75</v>
      </c>
      <c r="G34" s="3">
        <v>1.4</v>
      </c>
      <c r="H34" s="12">
        <v>6.7400264700321387E-3</v>
      </c>
      <c r="I34" s="19">
        <v>0.16424853489893149</v>
      </c>
      <c r="J34" s="3">
        <v>4.7312182797617043E-2</v>
      </c>
      <c r="K34" s="3">
        <v>0.21156071769654852</v>
      </c>
      <c r="L34" s="3">
        <v>3.4715907232926089</v>
      </c>
      <c r="M34" s="25">
        <v>0.16424853489893149</v>
      </c>
      <c r="N34" s="25">
        <v>5.4867922715350924E-2</v>
      </c>
    </row>
    <row r="35" spans="1:18" x14ac:dyDescent="0.3">
      <c r="B35" s="3">
        <v>100</v>
      </c>
      <c r="C35" s="3">
        <v>8</v>
      </c>
      <c r="D35" s="3">
        <v>2.85</v>
      </c>
      <c r="E35" s="3">
        <v>1.5</v>
      </c>
      <c r="F35" s="3">
        <v>2.85</v>
      </c>
      <c r="G35" s="3">
        <v>1.5</v>
      </c>
      <c r="H35" s="12">
        <v>6.7400264700321387E-3</v>
      </c>
      <c r="I35" s="19">
        <v>0.16424853489893149</v>
      </c>
      <c r="J35" s="3">
        <v>6.2423662633084805E-2</v>
      </c>
      <c r="K35" s="3">
        <v>0.22667219753201628</v>
      </c>
      <c r="L35" s="3">
        <v>2.6311902885986549</v>
      </c>
    </row>
    <row r="36" spans="1:18" x14ac:dyDescent="0.3">
      <c r="A36" s="3">
        <v>500907</v>
      </c>
      <c r="B36" s="3">
        <v>100</v>
      </c>
      <c r="C36" s="3">
        <v>5</v>
      </c>
      <c r="D36" s="3">
        <v>4.3</v>
      </c>
      <c r="E36" s="3">
        <v>2.15</v>
      </c>
      <c r="F36" s="3">
        <v>4.3</v>
      </c>
      <c r="G36" s="3">
        <v>2.15</v>
      </c>
      <c r="H36" s="12">
        <v>0.23412067934121802</v>
      </c>
      <c r="I36" s="19">
        <v>9.0862434592388936</v>
      </c>
      <c r="J36" s="3">
        <v>2.1993299319365405</v>
      </c>
      <c r="K36" s="3">
        <v>11.285573391175435</v>
      </c>
      <c r="L36" s="3">
        <v>4.1313689807505733</v>
      </c>
      <c r="M36" s="25">
        <v>9.1918974529509754</v>
      </c>
      <c r="N36" s="25">
        <v>2.3561311333680752</v>
      </c>
    </row>
    <row r="37" spans="1:18" x14ac:dyDescent="0.3">
      <c r="B37" s="3">
        <v>100</v>
      </c>
      <c r="C37" s="3">
        <v>5</v>
      </c>
      <c r="D37" s="3">
        <v>4.45</v>
      </c>
      <c r="E37" s="3">
        <v>2.25</v>
      </c>
      <c r="F37" s="3">
        <v>4.45</v>
      </c>
      <c r="G37" s="3">
        <v>2.25</v>
      </c>
      <c r="H37" s="12">
        <v>0.23412067934121802</v>
      </c>
      <c r="I37" s="19">
        <v>9.2975514466630553</v>
      </c>
      <c r="J37" s="3">
        <v>2.5129323347996095</v>
      </c>
      <c r="K37" s="3">
        <v>11.810483781462665</v>
      </c>
      <c r="L37" s="3">
        <v>3.6998813369976697</v>
      </c>
    </row>
    <row r="38" spans="1:18" x14ac:dyDescent="0.3">
      <c r="A38" s="3">
        <v>500908</v>
      </c>
      <c r="B38" s="3">
        <v>100</v>
      </c>
      <c r="C38" s="3">
        <v>5</v>
      </c>
      <c r="D38" s="3">
        <v>4.05</v>
      </c>
      <c r="E38" s="3">
        <v>2.1</v>
      </c>
      <c r="F38" s="3">
        <v>4.05</v>
      </c>
      <c r="G38" s="3">
        <v>2.1</v>
      </c>
      <c r="H38" s="12">
        <v>0.23412067934121802</v>
      </c>
      <c r="I38" s="19">
        <v>8.2410115095422523</v>
      </c>
      <c r="J38" s="3">
        <v>2.7821066864895654</v>
      </c>
      <c r="K38" s="3">
        <v>11.023118196031817</v>
      </c>
      <c r="L38" s="3">
        <v>2.9621479109921118</v>
      </c>
      <c r="M38" s="25">
        <v>8.241011509542254</v>
      </c>
      <c r="N38" s="25">
        <v>2.5196514913459511</v>
      </c>
    </row>
    <row r="39" spans="1:18" x14ac:dyDescent="0.3">
      <c r="B39" s="3">
        <v>100</v>
      </c>
      <c r="C39" s="3">
        <v>5</v>
      </c>
      <c r="D39" s="3">
        <v>3.95</v>
      </c>
      <c r="E39" s="3">
        <v>2</v>
      </c>
      <c r="F39" s="3">
        <v>3.95</v>
      </c>
      <c r="G39" s="3">
        <v>2</v>
      </c>
      <c r="H39" s="12">
        <v>0.23412067934121802</v>
      </c>
      <c r="I39" s="19">
        <v>8.241011509542254</v>
      </c>
      <c r="J39" s="3">
        <v>2.2571962962023364</v>
      </c>
      <c r="K39" s="3">
        <v>10.49820780574459</v>
      </c>
      <c r="L39" s="3">
        <v>3.6509946092891892</v>
      </c>
    </row>
    <row r="40" spans="1:18" x14ac:dyDescent="0.3">
      <c r="A40" s="3">
        <v>500910</v>
      </c>
      <c r="B40" s="3">
        <v>100</v>
      </c>
      <c r="C40" s="3">
        <v>6</v>
      </c>
      <c r="D40" s="3">
        <v>3.45</v>
      </c>
      <c r="E40" s="3">
        <v>2.1</v>
      </c>
      <c r="F40" s="3">
        <v>3.45</v>
      </c>
      <c r="G40" s="3">
        <v>2.1</v>
      </c>
      <c r="H40" s="12">
        <v>6.4908340024585107E-2</v>
      </c>
      <c r="I40" s="19">
        <v>1.5817593297536325</v>
      </c>
      <c r="J40" s="3">
        <v>1.4743239945068169</v>
      </c>
      <c r="K40" s="3">
        <v>3.0560833242604497</v>
      </c>
      <c r="L40" s="3">
        <v>1.0728709128028227</v>
      </c>
      <c r="M40" s="25">
        <v>1.6110511691935145</v>
      </c>
      <c r="N40" s="25">
        <v>1.4450321550669349</v>
      </c>
    </row>
    <row r="41" spans="1:18" x14ac:dyDescent="0.3">
      <c r="B41" s="3">
        <v>100</v>
      </c>
      <c r="C41" s="3">
        <v>6</v>
      </c>
      <c r="D41" s="3">
        <v>3.5</v>
      </c>
      <c r="E41" s="3">
        <v>2.1</v>
      </c>
      <c r="F41" s="3">
        <v>3.5</v>
      </c>
      <c r="G41" s="3">
        <v>2.1</v>
      </c>
      <c r="H41" s="12">
        <v>6.4908340024585107E-2</v>
      </c>
      <c r="I41" s="19">
        <v>1.6403430086333963</v>
      </c>
      <c r="J41" s="3">
        <v>1.4157403156270529</v>
      </c>
      <c r="K41" s="3">
        <v>3.0560833242604493</v>
      </c>
      <c r="L41" s="3">
        <v>1.1586468157522685</v>
      </c>
    </row>
    <row r="42" spans="1:18" x14ac:dyDescent="0.3">
      <c r="A42" s="3">
        <v>500911</v>
      </c>
      <c r="B42" s="3">
        <v>100</v>
      </c>
      <c r="C42" s="3">
        <v>5</v>
      </c>
      <c r="D42" s="3">
        <v>5.2</v>
      </c>
      <c r="E42" s="3">
        <v>2.7</v>
      </c>
      <c r="F42" s="3">
        <v>5.2</v>
      </c>
      <c r="G42" s="3">
        <v>2.7</v>
      </c>
      <c r="H42" s="12">
        <v>0.23412067934121802</v>
      </c>
      <c r="I42" s="19">
        <v>10.565399371208018</v>
      </c>
      <c r="J42" s="3">
        <v>3.6071811665471762</v>
      </c>
      <c r="K42" s="3">
        <v>14.172580537755195</v>
      </c>
      <c r="L42" s="3">
        <v>2.9289905007242281</v>
      </c>
      <c r="M42" s="25">
        <v>10.459745377495938</v>
      </c>
      <c r="N42" s="25">
        <v>3.4503799651156433</v>
      </c>
    </row>
    <row r="43" spans="1:18" x14ac:dyDescent="0.3">
      <c r="B43" s="3">
        <v>100</v>
      </c>
      <c r="C43" s="3">
        <v>5</v>
      </c>
      <c r="D43" s="3">
        <v>5.05</v>
      </c>
      <c r="E43" s="3">
        <v>2.6</v>
      </c>
      <c r="F43" s="3">
        <v>5.05</v>
      </c>
      <c r="G43" s="3">
        <v>2.6</v>
      </c>
      <c r="H43" s="12">
        <v>0.23412067934121802</v>
      </c>
      <c r="I43" s="19">
        <v>10.354091383783857</v>
      </c>
      <c r="J43" s="3">
        <v>3.2935787636841098</v>
      </c>
      <c r="K43" s="3">
        <v>13.647670147467966</v>
      </c>
      <c r="L43" s="3">
        <v>3.1437205929157876</v>
      </c>
    </row>
    <row r="44" spans="1:18" x14ac:dyDescent="0.3">
      <c r="A44" s="3">
        <v>500912</v>
      </c>
      <c r="B44" s="3">
        <v>100</v>
      </c>
      <c r="C44" s="3">
        <v>5</v>
      </c>
      <c r="D44" s="3">
        <v>3.3</v>
      </c>
      <c r="E44" s="3">
        <v>1.8</v>
      </c>
      <c r="F44" s="3">
        <v>3.3</v>
      </c>
      <c r="G44" s="3">
        <v>1.8</v>
      </c>
      <c r="H44" s="12">
        <v>0.23412067934121802</v>
      </c>
      <c r="I44" s="19">
        <v>6.3392396227248096</v>
      </c>
      <c r="J44" s="3">
        <v>3.1091474024453203</v>
      </c>
      <c r="K44" s="3">
        <v>9.4483870251701294</v>
      </c>
      <c r="L44" s="3">
        <v>2.0388996731834093</v>
      </c>
      <c r="M44" s="25">
        <v>6.4448936164368913</v>
      </c>
      <c r="N44" s="25">
        <v>3.2659486038768533</v>
      </c>
    </row>
    <row r="45" spans="1:18" x14ac:dyDescent="0.3">
      <c r="B45" s="3">
        <v>100</v>
      </c>
      <c r="C45" s="3">
        <v>5</v>
      </c>
      <c r="D45" s="3">
        <v>3.45</v>
      </c>
      <c r="E45" s="3">
        <v>1.9</v>
      </c>
      <c r="F45" s="3">
        <v>3.45</v>
      </c>
      <c r="G45" s="3">
        <v>1.9</v>
      </c>
      <c r="H45" s="12">
        <v>0.23412067934121802</v>
      </c>
      <c r="I45" s="19">
        <v>6.550547610148973</v>
      </c>
      <c r="J45" s="3">
        <v>3.4227498053083867</v>
      </c>
      <c r="K45" s="3">
        <v>9.9732974154573597</v>
      </c>
      <c r="L45" s="3">
        <v>1.913826012053129</v>
      </c>
    </row>
    <row r="46" spans="1:18" x14ac:dyDescent="0.3">
      <c r="A46" s="3">
        <v>500913</v>
      </c>
      <c r="B46" s="3">
        <v>100</v>
      </c>
      <c r="C46" s="3">
        <v>5</v>
      </c>
      <c r="D46" s="3">
        <v>5.95</v>
      </c>
      <c r="E46" s="3">
        <v>2.9</v>
      </c>
      <c r="F46" s="3">
        <v>5.95</v>
      </c>
      <c r="G46" s="3">
        <v>2.9</v>
      </c>
      <c r="H46" s="12">
        <v>0.23412067934121802</v>
      </c>
      <c r="I46" s="19">
        <v>12.889787232873783</v>
      </c>
      <c r="J46" s="3">
        <v>2.3326140854558775</v>
      </c>
      <c r="K46" s="3">
        <v>15.222401318329659</v>
      </c>
      <c r="L46" s="3">
        <v>5.5258978813697128</v>
      </c>
      <c r="M46" s="25">
        <v>12.678479245449623</v>
      </c>
      <c r="N46" s="25">
        <v>2.2814668777364218</v>
      </c>
    </row>
    <row r="47" spans="1:18" x14ac:dyDescent="0.3">
      <c r="B47" s="3">
        <v>100</v>
      </c>
      <c r="C47" s="3">
        <v>5</v>
      </c>
      <c r="D47" s="3">
        <v>5.75</v>
      </c>
      <c r="E47" s="3">
        <v>2.8</v>
      </c>
      <c r="F47" s="3">
        <v>5.75</v>
      </c>
      <c r="G47" s="3">
        <v>2.8</v>
      </c>
      <c r="H47" s="12">
        <v>0.23412067934121802</v>
      </c>
      <c r="I47" s="19">
        <v>12.467171258025463</v>
      </c>
      <c r="J47" s="3">
        <v>2.2303196700169661</v>
      </c>
      <c r="K47" s="3">
        <v>14.697490928042429</v>
      </c>
      <c r="L47" s="3">
        <v>5.5898584519638055</v>
      </c>
    </row>
    <row r="48" spans="1:18" x14ac:dyDescent="0.3">
      <c r="A48" s="3">
        <v>500915</v>
      </c>
      <c r="B48" s="3">
        <v>100</v>
      </c>
      <c r="C48" s="3">
        <v>7</v>
      </c>
      <c r="D48" s="3">
        <v>3.3</v>
      </c>
      <c r="E48" s="3">
        <v>2.25</v>
      </c>
      <c r="F48" s="3">
        <v>3.3</v>
      </c>
      <c r="G48" s="3">
        <v>2.25</v>
      </c>
      <c r="H48" s="12">
        <v>2.0824520395634091E-2</v>
      </c>
      <c r="I48" s="19">
        <v>0.39470301227296284</v>
      </c>
      <c r="J48" s="3">
        <v>0.65581358917136967</v>
      </c>
      <c r="K48" s="3">
        <v>1.0505166014443326</v>
      </c>
      <c r="L48" s="3">
        <v>0.60185244525304216</v>
      </c>
      <c r="M48" s="25">
        <v>0.37590763073615513</v>
      </c>
      <c r="N48" s="25">
        <v>0.68628137739089212</v>
      </c>
      <c r="R48" s="3" t="s">
        <v>27</v>
      </c>
    </row>
    <row r="49" spans="1:14" x14ac:dyDescent="0.3">
      <c r="B49" s="3">
        <v>100</v>
      </c>
      <c r="C49" s="3">
        <v>7</v>
      </c>
      <c r="D49" s="3">
        <v>3.25</v>
      </c>
      <c r="E49" s="3">
        <v>2.2999999999999998</v>
      </c>
      <c r="F49" s="3">
        <v>3.25</v>
      </c>
      <c r="G49" s="3">
        <v>2.2999999999999998</v>
      </c>
      <c r="H49" s="12">
        <v>2.0824520395634091E-2</v>
      </c>
      <c r="I49" s="19">
        <v>0.35711224919934742</v>
      </c>
      <c r="J49" s="3">
        <v>0.71674916561041457</v>
      </c>
      <c r="K49" s="3">
        <v>1.073861414809762</v>
      </c>
      <c r="L49" s="3">
        <v>0.49823880701028117</v>
      </c>
    </row>
    <row r="50" spans="1:14" x14ac:dyDescent="0.3">
      <c r="A50" s="3">
        <v>500916</v>
      </c>
      <c r="B50" s="3">
        <v>100</v>
      </c>
      <c r="C50" s="3">
        <v>6</v>
      </c>
      <c r="D50" s="3">
        <v>6.9</v>
      </c>
      <c r="E50" s="3">
        <v>3.7</v>
      </c>
      <c r="F50" s="3">
        <v>6.9</v>
      </c>
      <c r="G50" s="3">
        <v>3.7</v>
      </c>
      <c r="H50" s="12">
        <v>6.4908340024585107E-2</v>
      </c>
      <c r="I50" s="19">
        <v>3.749355448304907</v>
      </c>
      <c r="J50" s="3">
        <v>1.6351723134873146</v>
      </c>
      <c r="K50" s="3">
        <v>5.3845277617922216</v>
      </c>
      <c r="L50" s="3">
        <v>2.2929421060883159</v>
      </c>
      <c r="M50" s="25">
        <v>3.7786472877447883</v>
      </c>
      <c r="N50" s="25">
        <v>1.7150263070567342</v>
      </c>
    </row>
    <row r="51" spans="1:14" x14ac:dyDescent="0.3">
      <c r="B51" s="3">
        <v>100</v>
      </c>
      <c r="C51" s="3">
        <v>6</v>
      </c>
      <c r="D51" s="3">
        <v>7.1</v>
      </c>
      <c r="E51" s="3">
        <v>3.85</v>
      </c>
      <c r="F51" s="3">
        <v>7.1</v>
      </c>
      <c r="G51" s="3">
        <v>3.85</v>
      </c>
      <c r="H51" s="12">
        <v>6.4908340024585107E-2</v>
      </c>
      <c r="I51" s="19">
        <v>3.8079391271846701</v>
      </c>
      <c r="J51" s="3">
        <v>1.794880300626154</v>
      </c>
      <c r="K51" s="3">
        <v>5.6028194278108243</v>
      </c>
      <c r="L51" s="3">
        <v>2.1215560312608308</v>
      </c>
    </row>
    <row r="52" spans="1:14" x14ac:dyDescent="0.3">
      <c r="A52" s="3">
        <v>500917</v>
      </c>
      <c r="B52" s="3">
        <v>100</v>
      </c>
      <c r="C52" s="3">
        <v>5</v>
      </c>
      <c r="D52" s="3">
        <v>5.7</v>
      </c>
      <c r="E52" s="3">
        <v>2.85</v>
      </c>
      <c r="F52" s="3">
        <v>5.7</v>
      </c>
      <c r="G52" s="3">
        <v>2.85</v>
      </c>
      <c r="H52" s="12">
        <v>0.23412067934121802</v>
      </c>
      <c r="I52" s="19">
        <v>12.044555283177139</v>
      </c>
      <c r="J52" s="3">
        <v>2.9153908400089046</v>
      </c>
      <c r="K52" s="3">
        <v>14.959946123186043</v>
      </c>
      <c r="L52" s="3">
        <v>4.1313689807505707</v>
      </c>
      <c r="M52" s="25">
        <v>12.044555283177139</v>
      </c>
      <c r="N52" s="25">
        <v>2.784163242437093</v>
      </c>
    </row>
    <row r="53" spans="1:14" x14ac:dyDescent="0.3">
      <c r="B53" s="3">
        <v>100</v>
      </c>
      <c r="C53" s="3">
        <v>5</v>
      </c>
      <c r="D53" s="3">
        <v>5.65</v>
      </c>
      <c r="E53" s="3">
        <v>2.8</v>
      </c>
      <c r="F53" s="3">
        <v>5.65</v>
      </c>
      <c r="G53" s="3">
        <v>2.8</v>
      </c>
      <c r="H53" s="12">
        <v>0.23412067934121802</v>
      </c>
      <c r="I53" s="19">
        <v>12.044555283177141</v>
      </c>
      <c r="J53" s="3">
        <v>2.6529356448652819</v>
      </c>
      <c r="K53" s="3">
        <v>14.697490928042424</v>
      </c>
      <c r="L53" s="3">
        <v>4.5400857372809638</v>
      </c>
    </row>
    <row r="54" spans="1:14" x14ac:dyDescent="0.3">
      <c r="A54" s="3">
        <v>500918</v>
      </c>
      <c r="B54" s="3">
        <v>100</v>
      </c>
      <c r="C54" s="3">
        <v>5</v>
      </c>
      <c r="D54" s="3">
        <v>7.4</v>
      </c>
      <c r="E54" s="3">
        <v>3.65</v>
      </c>
      <c r="F54" s="3">
        <v>7.4</v>
      </c>
      <c r="G54" s="3">
        <v>3.65</v>
      </c>
      <c r="H54" s="12">
        <v>0.23412067934121802</v>
      </c>
      <c r="I54" s="19">
        <v>15.848099056812027</v>
      </c>
      <c r="J54" s="3">
        <v>3.3111301886718496</v>
      </c>
      <c r="K54" s="3">
        <v>19.159229245483875</v>
      </c>
      <c r="L54" s="3">
        <v>4.7863110641291238</v>
      </c>
      <c r="M54" s="25">
        <v>16.270715031660348</v>
      </c>
      <c r="N54" s="25">
        <v>3.1509694089671449</v>
      </c>
    </row>
    <row r="55" spans="1:14" x14ac:dyDescent="0.3">
      <c r="B55" s="3">
        <v>100</v>
      </c>
      <c r="C55" s="3">
        <v>5</v>
      </c>
      <c r="D55" s="3">
        <v>7.7</v>
      </c>
      <c r="E55" s="3">
        <v>3.75</v>
      </c>
      <c r="F55" s="3">
        <v>7.7</v>
      </c>
      <c r="G55" s="3">
        <v>3.75</v>
      </c>
      <c r="H55" s="12">
        <v>0.23412067934121802</v>
      </c>
      <c r="I55" s="19">
        <v>16.693331006508672</v>
      </c>
      <c r="J55" s="3">
        <v>2.9908086292624403</v>
      </c>
      <c r="K55" s="3">
        <v>19.68413963577111</v>
      </c>
      <c r="L55" s="3">
        <v>5.5815443499724671</v>
      </c>
    </row>
    <row r="56" spans="1:14" x14ac:dyDescent="0.3">
      <c r="A56" s="3">
        <v>500920</v>
      </c>
      <c r="B56" s="3">
        <v>100</v>
      </c>
      <c r="C56" s="3">
        <v>7</v>
      </c>
      <c r="D56" s="3">
        <v>2.6</v>
      </c>
      <c r="E56" s="3">
        <v>1.8</v>
      </c>
      <c r="F56" s="3">
        <v>2.6</v>
      </c>
      <c r="G56" s="3">
        <v>1.8</v>
      </c>
      <c r="H56" s="12">
        <v>2.0824520395634091E-2</v>
      </c>
      <c r="I56" s="19">
        <v>0.30072610458892413</v>
      </c>
      <c r="J56" s="3">
        <v>0.53968717656654186</v>
      </c>
      <c r="K56" s="3">
        <v>0.84041328115546599</v>
      </c>
      <c r="L56" s="3">
        <v>0.55722299444305112</v>
      </c>
      <c r="M56" s="25">
        <v>0.28193072305211636</v>
      </c>
      <c r="N56" s="25">
        <v>0.53513774473791997</v>
      </c>
    </row>
    <row r="57" spans="1:14" x14ac:dyDescent="0.3">
      <c r="B57" s="3">
        <v>100</v>
      </c>
      <c r="C57" s="3">
        <v>7</v>
      </c>
      <c r="D57" s="3">
        <v>2.4</v>
      </c>
      <c r="E57" s="3">
        <v>1.7</v>
      </c>
      <c r="F57" s="3">
        <v>2.4</v>
      </c>
      <c r="G57" s="3">
        <v>1.7</v>
      </c>
      <c r="H57" s="12">
        <v>2.0824520395634091E-2</v>
      </c>
      <c r="I57" s="19">
        <v>0.2631353415153086</v>
      </c>
      <c r="J57" s="3">
        <v>0.53058831290929809</v>
      </c>
      <c r="K57" s="3">
        <v>0.79372365442460668</v>
      </c>
      <c r="L57" s="3">
        <v>0.49593128064298414</v>
      </c>
    </row>
    <row r="58" spans="1:14" x14ac:dyDescent="0.3">
      <c r="A58" s="3">
        <v>500921</v>
      </c>
      <c r="B58" s="3">
        <v>100</v>
      </c>
      <c r="C58" s="3">
        <v>6</v>
      </c>
      <c r="D58" s="3">
        <v>4.5</v>
      </c>
      <c r="E58" s="3">
        <v>2.4</v>
      </c>
      <c r="F58" s="3">
        <v>4.5</v>
      </c>
      <c r="G58" s="3">
        <v>2.4</v>
      </c>
      <c r="H58" s="12">
        <v>6.4908340024585107E-2</v>
      </c>
      <c r="I58" s="19">
        <v>2.4605145129500947</v>
      </c>
      <c r="J58" s="3">
        <v>1.0321521433475618</v>
      </c>
      <c r="K58" s="3">
        <v>3.4926666562976565</v>
      </c>
      <c r="L58" s="3">
        <v>2.3838680458192423</v>
      </c>
      <c r="M58" s="25">
        <v>2.4605145129500947</v>
      </c>
      <c r="N58" s="25">
        <v>0.99577019901112807</v>
      </c>
    </row>
    <row r="59" spans="1:14" x14ac:dyDescent="0.3">
      <c r="B59" s="3">
        <v>100</v>
      </c>
      <c r="C59" s="3">
        <v>6</v>
      </c>
      <c r="D59" s="3">
        <v>4.45</v>
      </c>
      <c r="E59" s="3">
        <v>2.35</v>
      </c>
      <c r="F59" s="3">
        <v>4.45</v>
      </c>
      <c r="G59" s="3">
        <v>2.35</v>
      </c>
      <c r="H59" s="12">
        <v>6.4908340024585107E-2</v>
      </c>
      <c r="I59" s="19">
        <v>2.4605145129500947</v>
      </c>
      <c r="J59" s="3">
        <v>0.95938825467469424</v>
      </c>
      <c r="K59" s="3">
        <v>3.4199027676247891</v>
      </c>
      <c r="L59" s="3">
        <v>2.5646702479012489</v>
      </c>
    </row>
    <row r="60" spans="1:14" x14ac:dyDescent="0.3">
      <c r="A60" s="3">
        <v>500922</v>
      </c>
      <c r="B60" s="3">
        <v>100</v>
      </c>
      <c r="C60" s="3">
        <v>5</v>
      </c>
      <c r="D60" s="3">
        <v>4.45</v>
      </c>
      <c r="E60" s="3">
        <v>2.25</v>
      </c>
      <c r="F60" s="3">
        <v>4.45</v>
      </c>
      <c r="G60" s="3">
        <v>2.25</v>
      </c>
      <c r="H60" s="12">
        <v>0.23412067934121802</v>
      </c>
      <c r="I60" s="19">
        <v>9.2975514466630553</v>
      </c>
      <c r="J60" s="3">
        <v>2.5129323347996095</v>
      </c>
      <c r="K60" s="3">
        <v>11.810483781462665</v>
      </c>
      <c r="L60" s="3">
        <v>3.6998813369976697</v>
      </c>
      <c r="M60" s="25">
        <v>8.8749354718147373</v>
      </c>
      <c r="N60" s="25">
        <v>2.6730931145043142</v>
      </c>
    </row>
    <row r="61" spans="1:14" x14ac:dyDescent="0.3">
      <c r="B61" s="3">
        <v>100</v>
      </c>
      <c r="C61" s="3">
        <v>5</v>
      </c>
      <c r="D61" s="3">
        <v>4.1500000000000004</v>
      </c>
      <c r="E61" s="3">
        <v>2.15</v>
      </c>
      <c r="F61" s="3">
        <v>4.1500000000000004</v>
      </c>
      <c r="G61" s="3">
        <v>2.15</v>
      </c>
      <c r="H61" s="12">
        <v>0.23412067934121802</v>
      </c>
      <c r="I61" s="19">
        <v>8.4523194969664175</v>
      </c>
      <c r="J61" s="3">
        <v>2.8332538942090189</v>
      </c>
      <c r="K61" s="3">
        <v>11.285573391175436</v>
      </c>
      <c r="L61" s="3">
        <v>2.9832552296998136</v>
      </c>
    </row>
    <row r="62" spans="1:14" x14ac:dyDescent="0.3">
      <c r="A62" s="3">
        <v>500923</v>
      </c>
      <c r="B62" s="3">
        <v>100</v>
      </c>
      <c r="C62" s="3">
        <v>5</v>
      </c>
      <c r="D62" s="3">
        <v>3.9</v>
      </c>
      <c r="E62" s="3">
        <v>2</v>
      </c>
      <c r="F62" s="3">
        <v>3.9</v>
      </c>
      <c r="G62" s="3">
        <v>2</v>
      </c>
      <c r="H62" s="12">
        <v>0.23412067934121802</v>
      </c>
      <c r="I62" s="19">
        <v>8.0297035221180924</v>
      </c>
      <c r="J62" s="3">
        <v>2.4685042836264968</v>
      </c>
      <c r="K62" s="3">
        <v>10.498207805744588</v>
      </c>
      <c r="L62" s="3">
        <v>3.2528618951074288</v>
      </c>
      <c r="M62" s="25">
        <v>8.346665503254334</v>
      </c>
      <c r="N62" s="25">
        <v>2.4139974976338707</v>
      </c>
    </row>
    <row r="63" spans="1:14" x14ac:dyDescent="0.3">
      <c r="B63" s="3">
        <v>100</v>
      </c>
      <c r="C63" s="3">
        <v>5</v>
      </c>
      <c r="D63" s="3">
        <v>4.1500000000000004</v>
      </c>
      <c r="E63" s="3">
        <v>2.1</v>
      </c>
      <c r="F63" s="3">
        <v>4.1500000000000004</v>
      </c>
      <c r="G63" s="3">
        <v>2.1</v>
      </c>
      <c r="H63" s="12">
        <v>0.23412067934121802</v>
      </c>
      <c r="I63" s="19">
        <v>8.6636274843905756</v>
      </c>
      <c r="J63" s="3">
        <v>2.3594907116412447</v>
      </c>
      <c r="K63" s="3">
        <v>11.02311819603182</v>
      </c>
      <c r="L63" s="3">
        <v>3.6718209746052439</v>
      </c>
    </row>
    <row r="64" spans="1:14" x14ac:dyDescent="0.3">
      <c r="A64" s="3">
        <v>500925</v>
      </c>
      <c r="B64" s="3">
        <v>100</v>
      </c>
      <c r="C64" s="3">
        <v>8</v>
      </c>
      <c r="D64" s="3">
        <v>7.05</v>
      </c>
      <c r="E64" s="3">
        <v>4.8</v>
      </c>
      <c r="F64" s="3">
        <v>7.05</v>
      </c>
      <c r="G64" s="3">
        <v>4.8</v>
      </c>
      <c r="H64" s="12">
        <v>6.7400264700321387E-3</v>
      </c>
      <c r="I64" s="19">
        <v>0.27374755816488583</v>
      </c>
      <c r="J64" s="3">
        <v>0.45160347393756572</v>
      </c>
      <c r="K64" s="3">
        <v>0.72535103210245155</v>
      </c>
      <c r="L64" s="3">
        <v>0.60616796362981806</v>
      </c>
      <c r="M64" s="25">
        <v>0.2919973953758781</v>
      </c>
      <c r="N64" s="25">
        <v>0.49757742602731136</v>
      </c>
    </row>
    <row r="65" spans="1:14" x14ac:dyDescent="0.3">
      <c r="B65" s="3">
        <v>100</v>
      </c>
      <c r="C65" s="3">
        <v>8</v>
      </c>
      <c r="D65" s="3">
        <v>8.1999999999999993</v>
      </c>
      <c r="E65" s="3">
        <v>5.65</v>
      </c>
      <c r="F65" s="3">
        <v>8.1999999999999993</v>
      </c>
      <c r="G65" s="3">
        <v>5.65</v>
      </c>
      <c r="H65" s="12">
        <v>6.7400264700321387E-3</v>
      </c>
      <c r="I65" s="19">
        <v>0.31024723258687043</v>
      </c>
      <c r="J65" s="3">
        <v>0.543551378117057</v>
      </c>
      <c r="K65" s="3">
        <v>0.85379861070392749</v>
      </c>
      <c r="L65" s="3">
        <v>0.57077811790600752</v>
      </c>
    </row>
    <row r="66" spans="1:14" x14ac:dyDescent="0.3">
      <c r="A66" s="3">
        <v>500926</v>
      </c>
      <c r="B66" s="3">
        <v>100</v>
      </c>
      <c r="C66" s="3">
        <v>6</v>
      </c>
      <c r="D66" s="3">
        <v>3.5</v>
      </c>
      <c r="E66" s="3">
        <v>2</v>
      </c>
      <c r="F66" s="3">
        <v>3.5</v>
      </c>
      <c r="G66" s="3">
        <v>2</v>
      </c>
      <c r="H66" s="12">
        <v>6.4908340024585107E-2</v>
      </c>
      <c r="I66" s="19">
        <v>1.7575103663929246</v>
      </c>
      <c r="J66" s="3">
        <v>1.1530451805217887</v>
      </c>
      <c r="K66" s="3">
        <v>2.9105555469147131</v>
      </c>
      <c r="L66" s="3">
        <v>1.5242337386966889</v>
      </c>
      <c r="M66" s="25">
        <v>1.816094045272689</v>
      </c>
      <c r="N66" s="25">
        <v>1.0944615016420245</v>
      </c>
    </row>
    <row r="67" spans="1:14" x14ac:dyDescent="0.3">
      <c r="B67" s="3">
        <v>100</v>
      </c>
      <c r="C67" s="3">
        <v>6</v>
      </c>
      <c r="D67" s="3">
        <v>3.6</v>
      </c>
      <c r="E67" s="3">
        <v>2</v>
      </c>
      <c r="F67" s="3">
        <v>3.6</v>
      </c>
      <c r="G67" s="3">
        <v>2</v>
      </c>
      <c r="H67" s="12">
        <v>6.4908340024585107E-2</v>
      </c>
      <c r="I67" s="19">
        <v>1.8746777241524535</v>
      </c>
      <c r="J67" s="3">
        <v>1.0358778227622603</v>
      </c>
      <c r="K67" s="3">
        <v>2.910555546914714</v>
      </c>
      <c r="L67" s="3">
        <v>1.8097479094141227</v>
      </c>
    </row>
    <row r="68" spans="1:14" x14ac:dyDescent="0.3">
      <c r="A68" s="3">
        <v>500927</v>
      </c>
      <c r="B68" s="3">
        <v>100</v>
      </c>
      <c r="C68" s="3">
        <v>6</v>
      </c>
      <c r="D68" s="3">
        <v>5.95</v>
      </c>
      <c r="E68" s="3">
        <v>3.5</v>
      </c>
      <c r="F68" s="3">
        <v>5.95</v>
      </c>
      <c r="G68" s="3">
        <v>3.5</v>
      </c>
      <c r="H68" s="12">
        <v>6.4908340024585107E-2</v>
      </c>
      <c r="I68" s="19">
        <v>2.8706002651084446</v>
      </c>
      <c r="J68" s="3">
        <v>2.2228719419923038</v>
      </c>
      <c r="K68" s="3">
        <v>5.0934722071007483</v>
      </c>
      <c r="L68" s="3">
        <v>1.2913925498270487</v>
      </c>
      <c r="M68" s="25">
        <v>2.8998921045483268</v>
      </c>
      <c r="N68" s="25">
        <v>2.193580102552422</v>
      </c>
    </row>
    <row r="69" spans="1:14" x14ac:dyDescent="0.3">
      <c r="B69" s="3">
        <v>100</v>
      </c>
      <c r="C69" s="3">
        <v>6</v>
      </c>
      <c r="D69" s="3">
        <v>6</v>
      </c>
      <c r="E69" s="3">
        <v>3.5</v>
      </c>
      <c r="F69" s="3">
        <v>6</v>
      </c>
      <c r="G69" s="3">
        <v>3.5</v>
      </c>
      <c r="H69" s="12">
        <v>6.4908340024585107E-2</v>
      </c>
      <c r="I69" s="19">
        <v>2.9291839439882086</v>
      </c>
      <c r="J69" s="3">
        <v>2.1642882631125402</v>
      </c>
      <c r="K69" s="3">
        <v>5.0934722071007492</v>
      </c>
      <c r="L69" s="3">
        <v>1.3534167300688702</v>
      </c>
    </row>
    <row r="70" spans="1:14" x14ac:dyDescent="0.3">
      <c r="A70" s="3">
        <v>500928</v>
      </c>
      <c r="B70" s="3">
        <v>100</v>
      </c>
      <c r="C70" s="3">
        <v>7</v>
      </c>
      <c r="D70" s="3">
        <v>5.45</v>
      </c>
      <c r="E70" s="3">
        <v>3.5</v>
      </c>
      <c r="F70" s="3">
        <v>5.45</v>
      </c>
      <c r="G70" s="3">
        <v>3.5</v>
      </c>
      <c r="H70" s="12">
        <v>2.0824520395634091E-2</v>
      </c>
      <c r="I70" s="19">
        <v>0.73301987993550266</v>
      </c>
      <c r="J70" s="3">
        <v>0.90111705564457001</v>
      </c>
      <c r="K70" s="3">
        <v>1.6341369355800728</v>
      </c>
      <c r="L70" s="3">
        <v>0.81345689258003528</v>
      </c>
      <c r="M70" s="25">
        <v>0.73301987993550266</v>
      </c>
      <c r="N70" s="25">
        <v>0.9478066823754292</v>
      </c>
    </row>
    <row r="71" spans="1:14" x14ac:dyDescent="0.3">
      <c r="B71" s="3">
        <v>100</v>
      </c>
      <c r="C71" s="3">
        <v>7</v>
      </c>
      <c r="D71" s="3">
        <v>5.65</v>
      </c>
      <c r="E71" s="3">
        <v>3.7</v>
      </c>
      <c r="F71" s="3">
        <v>5.65</v>
      </c>
      <c r="G71" s="3">
        <v>3.7</v>
      </c>
      <c r="H71" s="12">
        <v>2.0824520395634091E-2</v>
      </c>
      <c r="I71" s="19">
        <v>0.73301987993550266</v>
      </c>
      <c r="J71" s="3">
        <v>0.9944963091062885</v>
      </c>
      <c r="K71" s="3">
        <v>1.7275161890417912</v>
      </c>
      <c r="L71" s="3">
        <v>0.73707652127360479</v>
      </c>
    </row>
    <row r="72" spans="1:14" x14ac:dyDescent="0.3">
      <c r="A72" s="3">
        <v>500930</v>
      </c>
      <c r="B72" s="3">
        <v>100</v>
      </c>
      <c r="C72" s="3">
        <v>8</v>
      </c>
      <c r="D72" s="3">
        <v>7.3</v>
      </c>
      <c r="E72" s="3">
        <v>4.9000000000000004</v>
      </c>
      <c r="F72" s="3">
        <v>7.3</v>
      </c>
      <c r="G72" s="3">
        <v>4.9000000000000004</v>
      </c>
      <c r="H72" s="12">
        <v>6.7400264700321387E-3</v>
      </c>
      <c r="I72" s="19">
        <v>0.29199739537587815</v>
      </c>
      <c r="J72" s="3">
        <v>0.4484651165620413</v>
      </c>
      <c r="K72" s="3">
        <v>0.74046251193791945</v>
      </c>
      <c r="L72" s="3">
        <v>0.65110391999793993</v>
      </c>
      <c r="M72" s="25">
        <v>0.3011223139813744</v>
      </c>
      <c r="N72" s="25">
        <v>0.49223037738068209</v>
      </c>
    </row>
    <row r="73" spans="1:14" x14ac:dyDescent="0.3">
      <c r="B73" s="3">
        <v>100</v>
      </c>
      <c r="C73" s="3">
        <v>8</v>
      </c>
      <c r="D73" s="3">
        <v>8.15</v>
      </c>
      <c r="E73" s="3">
        <v>5.6</v>
      </c>
      <c r="F73" s="3">
        <v>8.15</v>
      </c>
      <c r="G73" s="3">
        <v>5.6</v>
      </c>
      <c r="H73" s="12">
        <v>6.7400264700321387E-3</v>
      </c>
      <c r="I73" s="19">
        <v>0.31024723258687065</v>
      </c>
      <c r="J73" s="3">
        <v>0.53599563819932283</v>
      </c>
      <c r="K73" s="3">
        <v>0.84624287078619354</v>
      </c>
      <c r="L73" s="3">
        <v>0.57882417407191245</v>
      </c>
    </row>
    <row r="74" spans="1:14" x14ac:dyDescent="0.3">
      <c r="A74" s="3">
        <v>500931</v>
      </c>
      <c r="B74" s="3">
        <v>100</v>
      </c>
      <c r="C74" s="3">
        <v>7</v>
      </c>
      <c r="D74" s="3">
        <v>6.3</v>
      </c>
      <c r="E74" s="3">
        <v>3.65</v>
      </c>
      <c r="F74" s="3">
        <v>6.3</v>
      </c>
      <c r="G74" s="3">
        <v>3.65</v>
      </c>
      <c r="H74" s="12">
        <v>2.0824520395634091E-2</v>
      </c>
      <c r="I74" s="19">
        <v>0.99615522145081115</v>
      </c>
      <c r="J74" s="3">
        <v>0.70801615422555086</v>
      </c>
      <c r="K74" s="3">
        <v>1.7041713756763621</v>
      </c>
      <c r="L74" s="3">
        <v>1.4069667980110361</v>
      </c>
      <c r="M74" s="25">
        <v>0.99615522145081115</v>
      </c>
      <c r="N74" s="25">
        <v>0.67299893417740642</v>
      </c>
    </row>
    <row r="75" spans="1:14" x14ac:dyDescent="0.3">
      <c r="B75" s="3">
        <v>100</v>
      </c>
      <c r="C75" s="3">
        <v>7</v>
      </c>
      <c r="D75" s="3">
        <v>6.15</v>
      </c>
      <c r="E75" s="3">
        <v>3.5</v>
      </c>
      <c r="F75" s="3">
        <v>6.15</v>
      </c>
      <c r="G75" s="3">
        <v>3.5</v>
      </c>
      <c r="H75" s="12">
        <v>2.0824520395634091E-2</v>
      </c>
      <c r="I75" s="19">
        <v>0.99615522145081126</v>
      </c>
      <c r="J75" s="3">
        <v>0.63798171412926197</v>
      </c>
      <c r="K75" s="3">
        <v>1.6341369355800732</v>
      </c>
      <c r="L75" s="3">
        <v>1.5614165725900091</v>
      </c>
    </row>
    <row r="76" spans="1:14" x14ac:dyDescent="0.3">
      <c r="A76" s="3">
        <v>500932</v>
      </c>
      <c r="B76" s="3">
        <v>100</v>
      </c>
      <c r="C76" s="3">
        <v>6</v>
      </c>
      <c r="D76" s="3">
        <v>5.0999999999999996</v>
      </c>
      <c r="E76" s="3">
        <v>2.65</v>
      </c>
      <c r="F76" s="3">
        <v>5.0999999999999996</v>
      </c>
      <c r="G76" s="3">
        <v>2.65</v>
      </c>
      <c r="H76" s="12">
        <v>6.4908340024585107E-2</v>
      </c>
      <c r="I76" s="19">
        <v>2.8706002651084441</v>
      </c>
      <c r="J76" s="3">
        <v>0.98588583455355239</v>
      </c>
      <c r="K76" s="3">
        <v>3.8564860996619963</v>
      </c>
      <c r="L76" s="3">
        <v>2.9116964302548927</v>
      </c>
      <c r="M76" s="25">
        <v>2.8706002651084441</v>
      </c>
      <c r="N76" s="25">
        <v>0.94950389021711845</v>
      </c>
    </row>
    <row r="77" spans="1:14" x14ac:dyDescent="0.3">
      <c r="B77" s="3">
        <v>100</v>
      </c>
      <c r="C77" s="3">
        <v>6</v>
      </c>
      <c r="D77" s="3">
        <v>5.05</v>
      </c>
      <c r="E77" s="3">
        <v>2.6</v>
      </c>
      <c r="F77" s="3">
        <v>5.05</v>
      </c>
      <c r="G77" s="3">
        <v>2.6</v>
      </c>
      <c r="H77" s="12">
        <v>6.4908340024585107E-2</v>
      </c>
      <c r="I77" s="19">
        <v>2.8706002651084441</v>
      </c>
      <c r="J77" s="3">
        <v>0.91312194588068463</v>
      </c>
      <c r="K77" s="3">
        <v>3.7837222109891289</v>
      </c>
      <c r="L77" s="3">
        <v>3.1437205929157881</v>
      </c>
    </row>
    <row r="78" spans="1:14" x14ac:dyDescent="0.3">
      <c r="A78" s="3">
        <v>500933</v>
      </c>
      <c r="B78" s="3">
        <v>100</v>
      </c>
      <c r="C78" s="3">
        <v>6</v>
      </c>
      <c r="D78" s="3">
        <v>2.7</v>
      </c>
      <c r="E78" s="3">
        <v>1.4</v>
      </c>
      <c r="F78" s="3">
        <v>2.7</v>
      </c>
      <c r="G78" s="3">
        <v>1.4</v>
      </c>
      <c r="H78" s="12">
        <v>6.4908340024585107E-2</v>
      </c>
      <c r="I78" s="19">
        <v>1.5231756508738687</v>
      </c>
      <c r="J78" s="3">
        <v>0.51421323196643121</v>
      </c>
      <c r="K78" s="3">
        <v>2.0373888828403</v>
      </c>
      <c r="L78" s="3">
        <v>2.9621479109921163</v>
      </c>
      <c r="M78" s="25">
        <v>1.5524674903137505</v>
      </c>
      <c r="N78" s="25">
        <v>0.55768528119941729</v>
      </c>
    </row>
    <row r="79" spans="1:14" x14ac:dyDescent="0.3">
      <c r="B79" s="3">
        <v>100</v>
      </c>
      <c r="C79" s="3">
        <v>6</v>
      </c>
      <c r="D79" s="3">
        <v>2.85</v>
      </c>
      <c r="E79" s="3">
        <v>1.5</v>
      </c>
      <c r="F79" s="3">
        <v>2.85</v>
      </c>
      <c r="G79" s="3">
        <v>1.5</v>
      </c>
      <c r="H79" s="12">
        <v>6.4908340024585107E-2</v>
      </c>
      <c r="I79" s="19">
        <v>1.5817593297536325</v>
      </c>
      <c r="J79" s="3">
        <v>0.60115733043240338</v>
      </c>
      <c r="K79" s="3">
        <v>2.1829166601860361</v>
      </c>
      <c r="L79" s="3">
        <v>2.6311902885986553</v>
      </c>
    </row>
    <row r="80" spans="1:14" x14ac:dyDescent="0.3">
      <c r="A80" s="3">
        <v>500935</v>
      </c>
      <c r="B80" s="3">
        <v>100</v>
      </c>
      <c r="C80" s="3">
        <v>8</v>
      </c>
      <c r="D80" s="3">
        <v>2</v>
      </c>
      <c r="E80" s="3">
        <v>1.3</v>
      </c>
      <c r="F80" s="3">
        <v>2</v>
      </c>
      <c r="G80" s="3">
        <v>1.3</v>
      </c>
      <c r="H80" s="12">
        <v>6.7400264700321387E-3</v>
      </c>
      <c r="I80" s="19">
        <v>8.5165906984631126E-2</v>
      </c>
      <c r="J80" s="3">
        <v>0.11128333087644954</v>
      </c>
      <c r="K80" s="3">
        <v>0.19644923786108065</v>
      </c>
      <c r="L80" s="3">
        <v>0.76530695400540405</v>
      </c>
      <c r="M80" s="25">
        <v>9.7332465125292714E-2</v>
      </c>
      <c r="N80" s="25">
        <v>0.12178399248898958</v>
      </c>
    </row>
    <row r="81" spans="1:14" x14ac:dyDescent="0.3">
      <c r="B81" s="3">
        <v>100</v>
      </c>
      <c r="C81" s="3">
        <v>8</v>
      </c>
      <c r="D81" s="3">
        <v>2.5</v>
      </c>
      <c r="E81" s="3">
        <v>1.6</v>
      </c>
      <c r="F81" s="3">
        <v>2.5</v>
      </c>
      <c r="G81" s="3">
        <v>1.6</v>
      </c>
      <c r="H81" s="12">
        <v>6.7400264700321387E-3</v>
      </c>
      <c r="I81" s="19">
        <v>0.1094990232659543</v>
      </c>
      <c r="J81" s="3">
        <v>0.13228465410152962</v>
      </c>
      <c r="K81" s="3">
        <v>0.24178367736748391</v>
      </c>
      <c r="L81" s="3">
        <v>0.82775303008248302</v>
      </c>
    </row>
    <row r="82" spans="1:14" x14ac:dyDescent="0.3">
      <c r="A82" s="3">
        <v>500936</v>
      </c>
      <c r="B82" s="3">
        <v>100</v>
      </c>
      <c r="C82" s="3">
        <v>5</v>
      </c>
      <c r="D82" s="3">
        <v>3.9</v>
      </c>
      <c r="E82" s="3">
        <v>2.4</v>
      </c>
      <c r="F82" s="3">
        <v>3.9</v>
      </c>
      <c r="G82" s="3">
        <v>2.4</v>
      </c>
      <c r="H82" s="12">
        <v>0.23412067934121802</v>
      </c>
      <c r="I82" s="19">
        <v>6.3392396227248105</v>
      </c>
      <c r="J82" s="3">
        <v>6.2586097441686901</v>
      </c>
      <c r="K82" s="3">
        <v>12.597849366893501</v>
      </c>
      <c r="L82" s="3">
        <v>1.0128830334294681</v>
      </c>
      <c r="M82" s="25">
        <v>6.5505476101489712</v>
      </c>
      <c r="N82" s="25">
        <v>6.0473017567445311</v>
      </c>
    </row>
    <row r="83" spans="1:14" x14ac:dyDescent="0.3">
      <c r="B83" s="3">
        <v>100</v>
      </c>
      <c r="C83" s="3">
        <v>5</v>
      </c>
      <c r="D83" s="3">
        <v>4</v>
      </c>
      <c r="E83" s="3">
        <v>2.4</v>
      </c>
      <c r="F83" s="3">
        <v>4</v>
      </c>
      <c r="G83" s="3">
        <v>2.4</v>
      </c>
      <c r="H83" s="12">
        <v>0.23412067934121802</v>
      </c>
      <c r="I83" s="19">
        <v>6.761855597573132</v>
      </c>
      <c r="J83" s="3">
        <v>5.8359937693203712</v>
      </c>
      <c r="K83" s="3">
        <v>12.597849366893502</v>
      </c>
      <c r="L83" s="3">
        <v>1.1586468157522694</v>
      </c>
    </row>
    <row r="84" spans="1:14" x14ac:dyDescent="0.3">
      <c r="A84" s="3">
        <v>500937</v>
      </c>
      <c r="B84" s="3">
        <v>100</v>
      </c>
      <c r="C84" s="3">
        <v>5</v>
      </c>
      <c r="D84" s="3">
        <v>4.05</v>
      </c>
      <c r="E84" s="3">
        <v>2.35</v>
      </c>
      <c r="F84" s="3">
        <v>4.05</v>
      </c>
      <c r="G84" s="3">
        <v>2.35</v>
      </c>
      <c r="H84" s="12">
        <v>0.23412067934121802</v>
      </c>
      <c r="I84" s="19">
        <v>7.184471572421451</v>
      </c>
      <c r="J84" s="3">
        <v>5.1509225993284371</v>
      </c>
      <c r="K84" s="3">
        <v>12.335394171749888</v>
      </c>
      <c r="L84" s="3">
        <v>1.3947931528534601</v>
      </c>
      <c r="M84" s="25">
        <v>7.2901255661335309</v>
      </c>
      <c r="N84" s="25">
        <v>4.91404100804455</v>
      </c>
    </row>
    <row r="85" spans="1:14" x14ac:dyDescent="0.3">
      <c r="B85" s="3">
        <v>100</v>
      </c>
      <c r="C85" s="3">
        <v>5</v>
      </c>
      <c r="D85" s="3">
        <v>4.05</v>
      </c>
      <c r="E85" s="3">
        <v>2.2999999999999998</v>
      </c>
      <c r="F85" s="3">
        <v>4.05</v>
      </c>
      <c r="G85" s="3">
        <v>2.2999999999999998</v>
      </c>
      <c r="H85" s="12">
        <v>0.23412067934121802</v>
      </c>
      <c r="I85" s="19">
        <v>7.3957795598456118</v>
      </c>
      <c r="J85" s="3">
        <v>4.6771594167606629</v>
      </c>
      <c r="K85" s="3">
        <v>12.072938976606274</v>
      </c>
      <c r="L85" s="3">
        <v>1.5812545395272903</v>
      </c>
    </row>
    <row r="86" spans="1:14" x14ac:dyDescent="0.3">
      <c r="A86" s="3">
        <v>500938</v>
      </c>
      <c r="B86" s="3">
        <v>100</v>
      </c>
      <c r="C86" s="3">
        <v>6</v>
      </c>
      <c r="D86" s="3">
        <v>6.55</v>
      </c>
      <c r="E86" s="3">
        <v>3.35</v>
      </c>
      <c r="F86" s="3">
        <v>6.55</v>
      </c>
      <c r="G86" s="3">
        <v>3.35</v>
      </c>
      <c r="H86" s="12">
        <v>6.4908340024585107E-2</v>
      </c>
      <c r="I86" s="19">
        <v>3.7493554483049065</v>
      </c>
      <c r="J86" s="3">
        <v>1.1258250927772404</v>
      </c>
      <c r="K86" s="3">
        <v>4.8751805410821465</v>
      </c>
      <c r="L86" s="3">
        <v>3.3303178907265365</v>
      </c>
      <c r="M86" s="25">
        <v>3.866522806064435</v>
      </c>
      <c r="N86" s="25">
        <v>1.1541855123634472</v>
      </c>
    </row>
    <row r="87" spans="1:14" x14ac:dyDescent="0.3">
      <c r="B87" s="3">
        <v>100</v>
      </c>
      <c r="C87" s="3">
        <v>6</v>
      </c>
      <c r="D87" s="3">
        <v>6.95</v>
      </c>
      <c r="E87" s="3">
        <v>3.55</v>
      </c>
      <c r="F87" s="3">
        <v>6.95</v>
      </c>
      <c r="G87" s="3">
        <v>3.55</v>
      </c>
      <c r="H87" s="12">
        <v>6.4908340024585107E-2</v>
      </c>
      <c r="I87" s="19">
        <v>3.9836901638239635</v>
      </c>
      <c r="J87" s="3">
        <v>1.1825459319496541</v>
      </c>
      <c r="K87" s="3">
        <v>5.166236095773618</v>
      </c>
      <c r="L87" s="3">
        <v>3.3687403222097978</v>
      </c>
    </row>
    <row r="88" spans="1:14" x14ac:dyDescent="0.3">
      <c r="A88" s="3">
        <v>500940</v>
      </c>
      <c r="B88" s="3">
        <v>100</v>
      </c>
      <c r="C88" s="3">
        <v>8</v>
      </c>
      <c r="D88" s="3">
        <v>1.5</v>
      </c>
      <c r="E88" s="3">
        <v>1.05</v>
      </c>
      <c r="F88" s="3">
        <v>1.5</v>
      </c>
      <c r="G88" s="3">
        <v>1.05</v>
      </c>
      <c r="H88" s="12">
        <v>6.7400264700321387E-3</v>
      </c>
      <c r="I88" s="19">
        <v>5.4749511632977151E-2</v>
      </c>
      <c r="J88" s="3">
        <v>0.10392102663943413</v>
      </c>
      <c r="K88" s="3">
        <v>0.15867053827241129</v>
      </c>
      <c r="L88" s="3">
        <v>0.52683767090693623</v>
      </c>
      <c r="M88" s="25">
        <v>6.0224462796274872E-2</v>
      </c>
      <c r="N88" s="25">
        <v>9.9201649467909811E-2</v>
      </c>
    </row>
    <row r="89" spans="1:14" x14ac:dyDescent="0.3">
      <c r="B89" s="3">
        <v>100</v>
      </c>
      <c r="C89" s="3">
        <v>8</v>
      </c>
      <c r="D89" s="3">
        <v>1.6</v>
      </c>
      <c r="E89" s="3">
        <v>1.06</v>
      </c>
      <c r="F89" s="3">
        <v>1.6</v>
      </c>
      <c r="G89" s="3">
        <v>1.06</v>
      </c>
      <c r="H89" s="12">
        <v>6.7400264700321387E-3</v>
      </c>
      <c r="I89" s="19">
        <v>6.5699413959572586E-2</v>
      </c>
      <c r="J89" s="3">
        <v>9.4482272296385492E-2</v>
      </c>
      <c r="K89" s="3">
        <v>0.16018168625595808</v>
      </c>
      <c r="L89" s="3">
        <v>0.6953623400745198</v>
      </c>
    </row>
    <row r="90" spans="1:14" x14ac:dyDescent="0.3">
      <c r="A90" s="3">
        <v>500941</v>
      </c>
      <c r="B90" s="3">
        <v>100</v>
      </c>
      <c r="C90" s="3">
        <v>5</v>
      </c>
      <c r="D90" s="3">
        <v>2.35</v>
      </c>
      <c r="E90" s="3">
        <v>1.45</v>
      </c>
      <c r="F90" s="3">
        <v>2.35</v>
      </c>
      <c r="G90" s="3">
        <v>1.45</v>
      </c>
      <c r="H90" s="12">
        <v>0.23412067934121802</v>
      </c>
      <c r="I90" s="19">
        <v>3.8035437736348872</v>
      </c>
      <c r="J90" s="3">
        <v>3.8076568855299384</v>
      </c>
      <c r="K90" s="3">
        <v>7.611200659164826</v>
      </c>
      <c r="L90" s="3">
        <v>0.99891977874616744</v>
      </c>
      <c r="M90" s="25">
        <v>3.4865817924986464</v>
      </c>
      <c r="N90" s="25">
        <v>3.0747980860917208</v>
      </c>
    </row>
    <row r="91" spans="1:14" x14ac:dyDescent="0.3">
      <c r="B91" s="3">
        <v>100</v>
      </c>
      <c r="C91" s="3">
        <v>5</v>
      </c>
      <c r="D91" s="3">
        <v>1.8</v>
      </c>
      <c r="E91" s="3">
        <v>1.05</v>
      </c>
      <c r="F91" s="3">
        <v>1.8</v>
      </c>
      <c r="G91" s="3">
        <v>1.05</v>
      </c>
      <c r="H91" s="12">
        <v>0.23412067934121802</v>
      </c>
      <c r="I91" s="19">
        <v>3.1696198113624052</v>
      </c>
      <c r="J91" s="3">
        <v>2.3419392866535027</v>
      </c>
      <c r="K91" s="3">
        <v>5.5115590980159084</v>
      </c>
      <c r="L91" s="3">
        <v>1.3534167300688698</v>
      </c>
    </row>
    <row r="92" spans="1:14" x14ac:dyDescent="0.3">
      <c r="A92" s="3">
        <v>500942</v>
      </c>
      <c r="B92" s="3">
        <v>100</v>
      </c>
      <c r="C92" s="3">
        <v>5</v>
      </c>
      <c r="D92" s="3">
        <v>4.3499999999999996</v>
      </c>
      <c r="E92" s="3">
        <v>2.65</v>
      </c>
      <c r="F92" s="3">
        <v>4.3499999999999996</v>
      </c>
      <c r="G92" s="3">
        <v>2.65</v>
      </c>
      <c r="H92" s="12">
        <v>0.23412067934121802</v>
      </c>
      <c r="I92" s="19">
        <v>7.184471572421451</v>
      </c>
      <c r="J92" s="3">
        <v>6.7256537701901253</v>
      </c>
      <c r="K92" s="3">
        <v>13.910125342611575</v>
      </c>
      <c r="L92" s="3">
        <v>1.0682190635897624</v>
      </c>
      <c r="M92" s="25">
        <v>7.0788175787093701</v>
      </c>
      <c r="N92" s="25">
        <v>6.3063973736149777</v>
      </c>
    </row>
    <row r="93" spans="1:14" x14ac:dyDescent="0.3">
      <c r="B93" s="3">
        <v>100</v>
      </c>
      <c r="C93" s="3">
        <v>5</v>
      </c>
      <c r="D93" s="3">
        <v>4.0999999999999996</v>
      </c>
      <c r="E93" s="3">
        <v>2.4500000000000002</v>
      </c>
      <c r="F93" s="3">
        <v>4.0999999999999996</v>
      </c>
      <c r="G93" s="3">
        <v>2.4500000000000002</v>
      </c>
      <c r="H93" s="12">
        <v>0.23412067934121802</v>
      </c>
      <c r="I93" s="19">
        <v>6.9731635849972893</v>
      </c>
      <c r="J93" s="3">
        <v>5.8871409770398309</v>
      </c>
      <c r="K93" s="3">
        <v>12.86030456203712</v>
      </c>
      <c r="L93" s="3">
        <v>1.1844736880249693</v>
      </c>
    </row>
    <row r="94" spans="1:14" x14ac:dyDescent="0.3">
      <c r="A94" s="3">
        <v>500943</v>
      </c>
      <c r="B94" s="3">
        <v>100</v>
      </c>
      <c r="C94" s="3">
        <v>6</v>
      </c>
      <c r="D94" s="3">
        <v>3.05</v>
      </c>
      <c r="E94" s="3">
        <v>1.65</v>
      </c>
      <c r="F94" s="3">
        <v>3.05</v>
      </c>
      <c r="G94" s="3">
        <v>1.65</v>
      </c>
      <c r="H94" s="12">
        <v>6.4908340024585107E-2</v>
      </c>
      <c r="I94" s="19">
        <v>1.6403430086333963</v>
      </c>
      <c r="J94" s="3">
        <v>0.76086531757124232</v>
      </c>
      <c r="K94" s="3">
        <v>2.4012083262046389</v>
      </c>
      <c r="L94" s="3">
        <v>2.1558914182992783</v>
      </c>
      <c r="M94" s="25">
        <v>1.8746777241524528</v>
      </c>
      <c r="N94" s="25">
        <v>0.85396810108009125</v>
      </c>
    </row>
    <row r="95" spans="1:14" x14ac:dyDescent="0.3">
      <c r="B95" s="3">
        <v>100</v>
      </c>
      <c r="C95" s="3">
        <v>6</v>
      </c>
      <c r="D95" s="3">
        <v>3.9</v>
      </c>
      <c r="E95" s="3">
        <v>2.1</v>
      </c>
      <c r="F95" s="3">
        <v>3.9</v>
      </c>
      <c r="G95" s="3">
        <v>2.1</v>
      </c>
      <c r="H95" s="12">
        <v>6.4908340024585107E-2</v>
      </c>
      <c r="I95" s="19">
        <v>2.1090124396715093</v>
      </c>
      <c r="J95" s="3">
        <v>0.94707088458894018</v>
      </c>
      <c r="K95" s="3">
        <v>3.0560833242604497</v>
      </c>
      <c r="L95" s="3">
        <v>2.2268791850642624</v>
      </c>
    </row>
    <row r="96" spans="1:14" x14ac:dyDescent="0.3">
      <c r="A96" s="3">
        <v>500945</v>
      </c>
      <c r="B96" s="3">
        <v>100</v>
      </c>
      <c r="C96" s="3">
        <v>7</v>
      </c>
      <c r="D96" s="3">
        <v>2.9</v>
      </c>
      <c r="E96" s="3">
        <v>2.2999999999999998</v>
      </c>
      <c r="F96" s="3">
        <v>2.9</v>
      </c>
      <c r="G96" s="3">
        <v>2.2999999999999998</v>
      </c>
      <c r="H96" s="12">
        <v>2.0824520395634091E-2</v>
      </c>
      <c r="I96" s="19">
        <v>0.22554457844169312</v>
      </c>
      <c r="J96" s="3">
        <v>0.84831683636806887</v>
      </c>
      <c r="K96" s="3">
        <v>1.073861414809762</v>
      </c>
      <c r="L96" s="3">
        <v>0.26587304267981487</v>
      </c>
      <c r="M96" s="25">
        <v>0.44169146611498233</v>
      </c>
      <c r="N96" s="25">
        <v>0.94732492912807953</v>
      </c>
    </row>
    <row r="97" spans="1:15" x14ac:dyDescent="0.3">
      <c r="B97" s="3">
        <v>100</v>
      </c>
      <c r="C97" s="3">
        <v>7</v>
      </c>
      <c r="D97" s="3">
        <v>5.4</v>
      </c>
      <c r="E97" s="3">
        <v>3.65</v>
      </c>
      <c r="F97" s="3">
        <v>5.4</v>
      </c>
      <c r="G97" s="3">
        <v>3.65</v>
      </c>
      <c r="H97" s="12">
        <v>2.0824520395634091E-2</v>
      </c>
      <c r="I97" s="19">
        <v>0.6578383537882716</v>
      </c>
      <c r="J97" s="3">
        <v>1.0463330218880902</v>
      </c>
      <c r="K97" s="3">
        <v>1.7041713756763617</v>
      </c>
      <c r="L97" s="3">
        <v>0.62870839400749623</v>
      </c>
    </row>
    <row r="98" spans="1:15" x14ac:dyDescent="0.3">
      <c r="A98" s="3">
        <v>500946</v>
      </c>
      <c r="B98" s="3">
        <v>100</v>
      </c>
      <c r="C98" s="3">
        <v>7</v>
      </c>
      <c r="D98" s="3">
        <v>5.4</v>
      </c>
      <c r="E98" s="3">
        <v>3.25</v>
      </c>
      <c r="F98" s="3">
        <v>5.4</v>
      </c>
      <c r="G98" s="3">
        <v>3.25</v>
      </c>
      <c r="H98" s="12">
        <v>2.0824520395634091E-2</v>
      </c>
      <c r="I98" s="19">
        <v>0.80820140608273372</v>
      </c>
      <c r="J98" s="3">
        <v>0.70921146267019153</v>
      </c>
      <c r="K98" s="3">
        <v>1.5174128687529254</v>
      </c>
      <c r="L98" s="3">
        <v>1.1395774724788621</v>
      </c>
      <c r="M98" s="25">
        <v>0.72362218916709886</v>
      </c>
      <c r="N98" s="25">
        <v>0.630376986027819</v>
      </c>
    </row>
    <row r="99" spans="1:15" x14ac:dyDescent="0.3">
      <c r="B99" s="3">
        <v>100</v>
      </c>
      <c r="C99" s="3">
        <v>7</v>
      </c>
      <c r="D99" s="3">
        <v>4.25</v>
      </c>
      <c r="E99" s="3">
        <v>2.5499999999999998</v>
      </c>
      <c r="F99" s="3">
        <v>4.25</v>
      </c>
      <c r="G99" s="3">
        <v>2.5499999999999998</v>
      </c>
      <c r="H99" s="12">
        <v>2.0824520395634091E-2</v>
      </c>
      <c r="I99" s="19">
        <v>0.63904297225146389</v>
      </c>
      <c r="J99" s="3">
        <v>0.55154250938544636</v>
      </c>
      <c r="K99" s="3">
        <v>1.1905854816369104</v>
      </c>
      <c r="L99" s="3">
        <v>1.15864681575227</v>
      </c>
      <c r="O99" s="12"/>
    </row>
    <row r="100" spans="1:15" x14ac:dyDescent="0.3">
      <c r="A100" s="3">
        <v>500947</v>
      </c>
      <c r="B100" s="3">
        <v>100</v>
      </c>
      <c r="C100" s="3">
        <v>5</v>
      </c>
      <c r="D100" s="3">
        <v>3.85</v>
      </c>
      <c r="E100" s="3">
        <v>2</v>
      </c>
      <c r="F100" s="3">
        <v>3.85</v>
      </c>
      <c r="G100" s="3">
        <v>2</v>
      </c>
      <c r="H100" s="12">
        <v>0.23412067934121802</v>
      </c>
      <c r="I100" s="19">
        <v>7.8183955346939342</v>
      </c>
      <c r="J100" s="3">
        <v>2.6798122710506567</v>
      </c>
      <c r="K100" s="3">
        <v>10.498207805744592</v>
      </c>
      <c r="L100" s="3">
        <v>2.9175161331836974</v>
      </c>
      <c r="M100" s="25">
        <v>7.0788175787093728</v>
      </c>
      <c r="N100" s="25">
        <v>2.5007970440325655</v>
      </c>
    </row>
    <row r="101" spans="1:15" x14ac:dyDescent="0.3">
      <c r="B101" s="3">
        <v>100</v>
      </c>
      <c r="C101" s="3">
        <v>5</v>
      </c>
      <c r="D101" s="3">
        <v>3.15</v>
      </c>
      <c r="E101" s="3">
        <v>1.65</v>
      </c>
      <c r="F101" s="3">
        <v>3.15</v>
      </c>
      <c r="G101" s="3">
        <v>1.65</v>
      </c>
      <c r="H101" s="12">
        <v>0.23412067934121802</v>
      </c>
      <c r="I101" s="19">
        <v>6.3392396227248105</v>
      </c>
      <c r="J101" s="3">
        <v>2.3217818170144748</v>
      </c>
      <c r="K101" s="3">
        <v>8.6610214397392848</v>
      </c>
      <c r="L101" s="3">
        <v>2.730333908324035</v>
      </c>
    </row>
    <row r="102" spans="1:15" x14ac:dyDescent="0.3">
      <c r="A102" s="3">
        <v>500948</v>
      </c>
      <c r="B102" s="3">
        <v>100</v>
      </c>
      <c r="C102" s="3">
        <v>5</v>
      </c>
      <c r="D102" s="3">
        <v>3.2</v>
      </c>
      <c r="E102" s="3">
        <v>1.7</v>
      </c>
      <c r="F102" s="3">
        <v>3.2</v>
      </c>
      <c r="G102" s="3">
        <v>1.7</v>
      </c>
      <c r="H102" s="12">
        <v>0.23412067934121802</v>
      </c>
      <c r="I102" s="19">
        <v>6.3392396227248113</v>
      </c>
      <c r="J102" s="3">
        <v>2.5842370121580887</v>
      </c>
      <c r="K102" s="3">
        <v>8.9234766348828991</v>
      </c>
      <c r="L102" s="3">
        <v>2.4530411076462877</v>
      </c>
      <c r="M102" s="25">
        <v>6.3392396227248113</v>
      </c>
      <c r="N102" s="25">
        <v>2.5842370121580887</v>
      </c>
    </row>
    <row r="103" spans="1:15" x14ac:dyDescent="0.3">
      <c r="B103" s="3">
        <v>100</v>
      </c>
      <c r="C103" s="3">
        <v>5</v>
      </c>
      <c r="D103" s="3">
        <v>3.2</v>
      </c>
      <c r="E103" s="3">
        <v>1.7</v>
      </c>
      <c r="F103" s="3">
        <v>3.2</v>
      </c>
      <c r="G103" s="3">
        <v>1.7</v>
      </c>
      <c r="H103" s="12">
        <v>0.23412067934121802</v>
      </c>
      <c r="I103" s="19">
        <v>6.3392396227248113</v>
      </c>
      <c r="J103" s="3">
        <v>2.5842370121580887</v>
      </c>
      <c r="K103" s="3">
        <v>8.9234766348828991</v>
      </c>
      <c r="L103" s="3">
        <v>2.4530411076462877</v>
      </c>
    </row>
    <row r="104" spans="1:15" x14ac:dyDescent="0.3">
      <c r="A104" s="3">
        <v>500950</v>
      </c>
      <c r="B104" s="3">
        <v>100</v>
      </c>
      <c r="C104" s="3">
        <v>8</v>
      </c>
      <c r="D104" s="3">
        <v>2.35</v>
      </c>
      <c r="E104" s="3">
        <v>1.65</v>
      </c>
      <c r="F104" s="3">
        <v>2.35</v>
      </c>
      <c r="G104" s="3">
        <v>1.65</v>
      </c>
      <c r="H104" s="12">
        <v>6.7400264700321387E-3</v>
      </c>
      <c r="I104" s="19">
        <v>8.5165906984631154E-2</v>
      </c>
      <c r="J104" s="3">
        <v>0.16417351030058658</v>
      </c>
      <c r="K104" s="3">
        <v>0.24933941728521775</v>
      </c>
      <c r="L104" s="3">
        <v>0.5187554729669861</v>
      </c>
      <c r="M104" s="25">
        <v>7.9082627914300346E-2</v>
      </c>
      <c r="N104" s="25">
        <v>0.15514530953544967</v>
      </c>
    </row>
    <row r="105" spans="1:15" x14ac:dyDescent="0.3">
      <c r="B105" s="3">
        <v>100</v>
      </c>
      <c r="C105" s="3">
        <v>8</v>
      </c>
      <c r="D105" s="3">
        <v>2.0499999999999998</v>
      </c>
      <c r="E105" s="3">
        <v>1.45</v>
      </c>
      <c r="F105" s="3">
        <v>2.0499999999999998</v>
      </c>
      <c r="G105" s="3">
        <v>1.45</v>
      </c>
      <c r="H105" s="12">
        <v>6.7400264700321387E-3</v>
      </c>
      <c r="I105" s="19">
        <v>7.2999348843969539E-2</v>
      </c>
      <c r="J105" s="3">
        <v>0.14611710877031275</v>
      </c>
      <c r="K105" s="3">
        <v>0.21911645761428228</v>
      </c>
      <c r="L105" s="3">
        <v>0.49959480760545361</v>
      </c>
    </row>
    <row r="106" spans="1:15" x14ac:dyDescent="0.3">
      <c r="A106" s="3">
        <v>500951</v>
      </c>
      <c r="B106" s="3">
        <v>100</v>
      </c>
      <c r="C106" s="3">
        <v>5</v>
      </c>
      <c r="D106" s="3">
        <v>2.0499999999999998</v>
      </c>
      <c r="E106" s="3">
        <v>1.05</v>
      </c>
      <c r="F106" s="3">
        <v>2.0499999999999998</v>
      </c>
      <c r="G106" s="3">
        <v>1.05</v>
      </c>
      <c r="H106" s="12">
        <v>0.23412067934121802</v>
      </c>
      <c r="I106" s="19">
        <v>4.2261597484832061</v>
      </c>
      <c r="J106" s="3">
        <v>1.2853993495327038</v>
      </c>
      <c r="K106" s="3">
        <v>5.5115590980159102</v>
      </c>
      <c r="L106" s="3">
        <v>3.2878184900432625</v>
      </c>
      <c r="M106" s="25">
        <v>4.226159748483207</v>
      </c>
      <c r="N106" s="25">
        <v>1.1541717519608961</v>
      </c>
    </row>
    <row r="107" spans="1:15" x14ac:dyDescent="0.3">
      <c r="B107" s="3">
        <v>100</v>
      </c>
      <c r="C107" s="3">
        <v>5</v>
      </c>
      <c r="D107" s="3">
        <v>2</v>
      </c>
      <c r="E107" s="3">
        <v>1</v>
      </c>
      <c r="F107" s="3">
        <v>2</v>
      </c>
      <c r="G107" s="3">
        <v>1</v>
      </c>
      <c r="H107" s="12">
        <v>0.23412067934121802</v>
      </c>
      <c r="I107" s="19">
        <v>4.226159748483207</v>
      </c>
      <c r="J107" s="3">
        <v>1.022944154389088</v>
      </c>
      <c r="K107" s="3">
        <v>5.249103902872295</v>
      </c>
      <c r="L107" s="3">
        <v>4.1313689807505769</v>
      </c>
    </row>
    <row r="108" spans="1:15" x14ac:dyDescent="0.3">
      <c r="A108" s="3">
        <v>500952</v>
      </c>
      <c r="B108" s="3">
        <v>100</v>
      </c>
      <c r="C108" s="3">
        <v>5</v>
      </c>
      <c r="D108" s="3">
        <v>4.2</v>
      </c>
      <c r="E108" s="3">
        <v>2.15</v>
      </c>
      <c r="F108" s="3">
        <v>4.2</v>
      </c>
      <c r="G108" s="3">
        <v>2.15</v>
      </c>
      <c r="H108" s="12">
        <v>0.23412067934121802</v>
      </c>
      <c r="I108" s="19">
        <v>8.6636274843905756</v>
      </c>
      <c r="J108" s="3">
        <v>2.6219459067848585</v>
      </c>
      <c r="K108" s="3">
        <v>11.285573391175435</v>
      </c>
      <c r="L108" s="3">
        <v>3.3042739218881461</v>
      </c>
      <c r="M108" s="25">
        <v>8.9805894655268155</v>
      </c>
      <c r="N108" s="25">
        <v>2.4362115232204262</v>
      </c>
    </row>
    <row r="109" spans="1:15" x14ac:dyDescent="0.3">
      <c r="B109" s="3">
        <v>100</v>
      </c>
      <c r="C109" s="3">
        <v>5</v>
      </c>
      <c r="D109" s="3">
        <v>4.4000000000000004</v>
      </c>
      <c r="E109" s="3">
        <v>2.2000000000000002</v>
      </c>
      <c r="F109" s="3">
        <v>4.4000000000000004</v>
      </c>
      <c r="G109" s="3">
        <v>2.2000000000000002</v>
      </c>
      <c r="H109" s="12">
        <v>0.23412067934121802</v>
      </c>
      <c r="I109" s="19">
        <v>9.2975514466630553</v>
      </c>
      <c r="J109" s="3">
        <v>2.2504771396559939</v>
      </c>
      <c r="K109" s="3">
        <v>11.548028586319049</v>
      </c>
      <c r="L109" s="3">
        <v>4.131368980750576</v>
      </c>
    </row>
    <row r="110" spans="1:15" x14ac:dyDescent="0.3">
      <c r="A110" s="3">
        <v>500953</v>
      </c>
      <c r="B110" s="3">
        <v>100</v>
      </c>
      <c r="C110" s="3">
        <v>5</v>
      </c>
      <c r="D110" s="3">
        <v>1.9</v>
      </c>
      <c r="E110" s="3">
        <v>1</v>
      </c>
      <c r="F110" s="3">
        <v>1.9</v>
      </c>
      <c r="G110" s="3">
        <v>1</v>
      </c>
      <c r="H110" s="12">
        <v>0.23412067934121802</v>
      </c>
      <c r="I110" s="19">
        <v>3.8035437736348858</v>
      </c>
      <c r="J110" s="3">
        <v>1.4455601292374083</v>
      </c>
      <c r="K110" s="3">
        <v>5.2491039028722941</v>
      </c>
      <c r="L110" s="3">
        <v>2.6311902885986553</v>
      </c>
      <c r="M110" s="25">
        <v>3.5922357862107259</v>
      </c>
      <c r="N110" s="25">
        <v>1.5256405190897611</v>
      </c>
    </row>
    <row r="111" spans="1:15" x14ac:dyDescent="0.3">
      <c r="B111" s="3">
        <v>100</v>
      </c>
      <c r="C111" s="3">
        <v>5</v>
      </c>
      <c r="D111" s="3">
        <v>1.75</v>
      </c>
      <c r="E111" s="3">
        <v>0.95</v>
      </c>
      <c r="F111" s="3">
        <v>1.75</v>
      </c>
      <c r="G111" s="3">
        <v>0.95</v>
      </c>
      <c r="H111" s="12">
        <v>0.23412067934121802</v>
      </c>
      <c r="I111" s="19">
        <v>3.380927798786566</v>
      </c>
      <c r="J111" s="3">
        <v>1.6057209089421136</v>
      </c>
      <c r="K111" s="3">
        <v>4.9866487077286799</v>
      </c>
      <c r="L111" s="3">
        <v>2.105551332089211</v>
      </c>
    </row>
    <row r="131" spans="9:18" x14ac:dyDescent="0.3">
      <c r="I131" s="2"/>
      <c r="L131" s="10"/>
      <c r="P131" s="16"/>
      <c r="Q131" s="18"/>
    </row>
    <row r="132" spans="9:18" x14ac:dyDescent="0.3">
      <c r="I132" s="2"/>
      <c r="L132" s="10"/>
      <c r="P132" s="16"/>
      <c r="Q132" s="18"/>
    </row>
    <row r="133" spans="9:18" x14ac:dyDescent="0.3">
      <c r="I133" s="2"/>
      <c r="L133" s="10"/>
      <c r="P133" s="16"/>
      <c r="Q133" s="18"/>
      <c r="R133"/>
    </row>
    <row r="134" spans="9:18" x14ac:dyDescent="0.3">
      <c r="I134" s="2"/>
      <c r="L134" s="10"/>
      <c r="P134" s="16"/>
      <c r="Q134" s="18"/>
      <c r="R134"/>
    </row>
    <row r="135" spans="9:18" x14ac:dyDescent="0.3">
      <c r="I135" s="2"/>
      <c r="L135" s="10"/>
      <c r="P135" s="16"/>
      <c r="Q135" s="18"/>
      <c r="R135"/>
    </row>
    <row r="136" spans="9:18" x14ac:dyDescent="0.3">
      <c r="I136" s="2"/>
      <c r="L136" s="10"/>
      <c r="P136" s="16"/>
      <c r="Q136" s="18"/>
      <c r="R136"/>
    </row>
    <row r="137" spans="9:18" x14ac:dyDescent="0.3">
      <c r="I137" s="2"/>
      <c r="L137" s="10"/>
      <c r="P137" s="16"/>
      <c r="Q137" s="18"/>
    </row>
    <row r="138" spans="9:18" x14ac:dyDescent="0.3">
      <c r="I138" s="2"/>
      <c r="L138" s="10"/>
      <c r="P138" s="16"/>
      <c r="Q138" s="18"/>
    </row>
    <row r="139" spans="9:18" x14ac:dyDescent="0.3">
      <c r="I139" s="2"/>
      <c r="L139" s="10"/>
      <c r="P139" s="16"/>
      <c r="Q139" s="18"/>
    </row>
    <row r="140" spans="9:18" x14ac:dyDescent="0.3">
      <c r="I140" s="2"/>
      <c r="L140" s="10"/>
      <c r="P140" s="16"/>
      <c r="Q140" s="18"/>
    </row>
    <row r="141" spans="9:18" x14ac:dyDescent="0.3">
      <c r="I141" s="2"/>
      <c r="L141" s="10"/>
      <c r="P141" s="16"/>
      <c r="Q141" s="18"/>
    </row>
    <row r="142" spans="9:18" x14ac:dyDescent="0.3">
      <c r="I142" s="2"/>
      <c r="L142" s="10"/>
      <c r="P142" s="16"/>
      <c r="Q142" s="18"/>
    </row>
    <row r="143" spans="9:18" x14ac:dyDescent="0.3">
      <c r="I143" s="2"/>
      <c r="L143" s="10"/>
      <c r="P143" s="16"/>
      <c r="Q143" s="18"/>
    </row>
    <row r="144" spans="9:18" x14ac:dyDescent="0.3">
      <c r="I144" s="2"/>
      <c r="L144" s="10"/>
      <c r="P144" s="16"/>
      <c r="Q144" s="18"/>
    </row>
    <row r="145" spans="9:18" x14ac:dyDescent="0.3">
      <c r="I145" s="2"/>
      <c r="L145" s="10"/>
      <c r="P145" s="16"/>
      <c r="Q145" s="18"/>
    </row>
    <row r="146" spans="9:18" x14ac:dyDescent="0.3">
      <c r="I146" s="2"/>
      <c r="L146" s="10"/>
      <c r="P146" s="16"/>
      <c r="Q146" s="18"/>
    </row>
    <row r="147" spans="9:18" x14ac:dyDescent="0.3">
      <c r="I147" s="2"/>
      <c r="L147" s="10"/>
      <c r="P147" s="16"/>
      <c r="Q147" s="18"/>
      <c r="R147"/>
    </row>
    <row r="148" spans="9:18" x14ac:dyDescent="0.3">
      <c r="I148" s="2"/>
      <c r="L148" s="10"/>
      <c r="P148" s="16"/>
      <c r="Q148" s="18"/>
      <c r="R148"/>
    </row>
    <row r="149" spans="9:18" x14ac:dyDescent="0.3">
      <c r="I149" s="2"/>
      <c r="L149" s="10"/>
      <c r="P149" s="16"/>
      <c r="Q149" s="18"/>
      <c r="R149"/>
    </row>
    <row r="150" spans="9:18" x14ac:dyDescent="0.3">
      <c r="I150" s="2"/>
      <c r="L150" s="10"/>
      <c r="P150" s="16"/>
      <c r="Q150" s="18"/>
      <c r="R150"/>
    </row>
    <row r="151" spans="9:18" x14ac:dyDescent="0.3">
      <c r="I151" s="2"/>
      <c r="L151" s="10"/>
      <c r="P151" s="16"/>
      <c r="Q151" s="18"/>
      <c r="R151"/>
    </row>
    <row r="152" spans="9:18" x14ac:dyDescent="0.3">
      <c r="I152" s="2"/>
      <c r="L152" s="10"/>
      <c r="P152" s="16"/>
      <c r="Q152" s="18"/>
      <c r="R152"/>
    </row>
    <row r="153" spans="9:18" x14ac:dyDescent="0.3">
      <c r="I153" s="2"/>
      <c r="L153" s="10"/>
      <c r="P153" s="16"/>
      <c r="Q153" s="18"/>
      <c r="R153"/>
    </row>
    <row r="154" spans="9:18" x14ac:dyDescent="0.3">
      <c r="I154" s="2"/>
      <c r="L154" s="10"/>
      <c r="O154" s="12"/>
      <c r="P154" s="16"/>
      <c r="Q154" s="18"/>
      <c r="R154"/>
    </row>
    <row r="155" spans="9:18" x14ac:dyDescent="0.3">
      <c r="I155" s="2"/>
      <c r="L155" s="10"/>
      <c r="P155" s="16"/>
      <c r="Q155" s="17"/>
      <c r="R155"/>
    </row>
    <row r="156" spans="9:18" x14ac:dyDescent="0.3">
      <c r="I156" s="2"/>
      <c r="L156" s="10"/>
      <c r="P156" s="16"/>
      <c r="Q156" s="17"/>
      <c r="R156"/>
    </row>
    <row r="157" spans="9:18" x14ac:dyDescent="0.3">
      <c r="I157" s="2"/>
      <c r="L157" s="10"/>
      <c r="P157" s="16"/>
      <c r="Q157" s="17"/>
      <c r="R157"/>
    </row>
    <row r="158" spans="9:18" x14ac:dyDescent="0.3">
      <c r="I158" s="2"/>
      <c r="L158" s="10"/>
      <c r="P158" s="16"/>
      <c r="Q158" s="17"/>
      <c r="R158"/>
    </row>
    <row r="159" spans="9:18" x14ac:dyDescent="0.3">
      <c r="I159" s="2"/>
      <c r="L159" s="10"/>
      <c r="P159" s="16"/>
      <c r="Q159" s="17"/>
      <c r="R159"/>
    </row>
    <row r="160" spans="9:18" x14ac:dyDescent="0.3">
      <c r="I160" s="2"/>
      <c r="L160" s="10"/>
      <c r="P160" s="16"/>
      <c r="Q160" s="17"/>
      <c r="R160"/>
    </row>
    <row r="161" spans="9:18" x14ac:dyDescent="0.3">
      <c r="I161" s="2"/>
      <c r="L161" s="10"/>
      <c r="P161" s="16"/>
      <c r="Q161" s="17"/>
      <c r="R161"/>
    </row>
    <row r="162" spans="9:18" x14ac:dyDescent="0.3">
      <c r="I162" s="2"/>
      <c r="L162" s="10"/>
      <c r="P162" s="16"/>
      <c r="Q162" s="17"/>
      <c r="R162"/>
    </row>
    <row r="163" spans="9:18" x14ac:dyDescent="0.3">
      <c r="I163" s="2"/>
      <c r="L163" s="10"/>
      <c r="O163" s="12"/>
      <c r="P163" s="16"/>
      <c r="Q163" s="17"/>
      <c r="R163"/>
    </row>
    <row r="164" spans="9:18" x14ac:dyDescent="0.3">
      <c r="I164" s="2"/>
      <c r="L164" s="10"/>
      <c r="P164" s="16"/>
      <c r="Q164" s="17"/>
      <c r="R164"/>
    </row>
    <row r="165" spans="9:18" x14ac:dyDescent="0.3">
      <c r="I165" s="2"/>
      <c r="L165" s="10"/>
      <c r="P165" s="16"/>
      <c r="Q165" s="17"/>
      <c r="R165"/>
    </row>
    <row r="166" spans="9:18" x14ac:dyDescent="0.3">
      <c r="I166" s="2"/>
      <c r="L166" s="10"/>
      <c r="P166" s="16"/>
      <c r="Q166" s="17"/>
      <c r="R166"/>
    </row>
    <row r="167" spans="9:18" x14ac:dyDescent="0.3">
      <c r="I167" s="2"/>
      <c r="L167" s="10"/>
      <c r="P167" s="16"/>
      <c r="Q167" s="17"/>
      <c r="R167"/>
    </row>
    <row r="168" spans="9:18" x14ac:dyDescent="0.3">
      <c r="I168" s="2"/>
      <c r="L168" s="10"/>
      <c r="P168" s="16"/>
      <c r="Q168" s="17"/>
      <c r="R168"/>
    </row>
    <row r="169" spans="9:18" x14ac:dyDescent="0.3">
      <c r="I169" s="2"/>
      <c r="L169" s="10"/>
      <c r="P169" s="16"/>
      <c r="Q169" s="17"/>
      <c r="R169"/>
    </row>
    <row r="170" spans="9:18" x14ac:dyDescent="0.3">
      <c r="I170" s="2"/>
      <c r="L170" s="10"/>
      <c r="P170" s="16"/>
      <c r="Q170" s="17"/>
      <c r="R170"/>
    </row>
    <row r="171" spans="9:18" x14ac:dyDescent="0.3">
      <c r="I171" s="2"/>
      <c r="L171" s="10"/>
      <c r="O171" s="12"/>
      <c r="P171" s="16"/>
      <c r="Q171" s="17"/>
      <c r="R171"/>
    </row>
    <row r="172" spans="9:18" x14ac:dyDescent="0.3">
      <c r="I172" s="2"/>
      <c r="L172" s="10"/>
      <c r="P172" s="16"/>
      <c r="Q172" s="17"/>
      <c r="R172"/>
    </row>
    <row r="173" spans="9:18" x14ac:dyDescent="0.3">
      <c r="I173" s="2"/>
      <c r="L173" s="10"/>
      <c r="P173" s="16"/>
      <c r="Q173" s="17"/>
      <c r="R173"/>
    </row>
    <row r="174" spans="9:18" x14ac:dyDescent="0.3">
      <c r="I174" s="2"/>
      <c r="L174" s="10"/>
      <c r="P174" s="16"/>
      <c r="Q174" s="17"/>
      <c r="R174"/>
    </row>
    <row r="175" spans="9:18" x14ac:dyDescent="0.3">
      <c r="I175" s="2"/>
      <c r="L175" s="10"/>
      <c r="P175" s="16"/>
      <c r="Q175" s="17"/>
      <c r="R175"/>
    </row>
    <row r="176" spans="9:18" x14ac:dyDescent="0.3">
      <c r="I176" s="2"/>
      <c r="L176" s="10"/>
      <c r="P176" s="16"/>
      <c r="Q176" s="17"/>
      <c r="R176"/>
    </row>
    <row r="177" spans="9:18" x14ac:dyDescent="0.3">
      <c r="I177" s="2"/>
      <c r="L177" s="10"/>
      <c r="P177" s="16"/>
      <c r="Q177" s="17"/>
      <c r="R177"/>
    </row>
    <row r="178" spans="9:18" x14ac:dyDescent="0.3">
      <c r="I178" s="2"/>
      <c r="L178" s="10"/>
      <c r="P178" s="16"/>
      <c r="Q178" s="17"/>
      <c r="R178"/>
    </row>
    <row r="179" spans="9:18" x14ac:dyDescent="0.3">
      <c r="I179" s="2"/>
      <c r="L179" s="10"/>
      <c r="O179" s="12"/>
      <c r="P179" s="16"/>
      <c r="Q179" s="17"/>
      <c r="R179"/>
    </row>
    <row r="180" spans="9:18" x14ac:dyDescent="0.3">
      <c r="I180" s="2"/>
      <c r="L180" s="10"/>
      <c r="P180" s="16"/>
      <c r="Q180" s="18"/>
      <c r="R180"/>
    </row>
    <row r="181" spans="9:18" x14ac:dyDescent="0.3">
      <c r="I181" s="2"/>
      <c r="L181" s="10"/>
      <c r="P181" s="16"/>
      <c r="Q181" s="18"/>
      <c r="R181"/>
    </row>
    <row r="182" spans="9:18" x14ac:dyDescent="0.3">
      <c r="I182" s="2"/>
      <c r="L182" s="10"/>
      <c r="P182" s="16"/>
      <c r="Q182" s="18"/>
      <c r="R182"/>
    </row>
    <row r="183" spans="9:18" x14ac:dyDescent="0.3">
      <c r="I183" s="2"/>
      <c r="L183" s="10"/>
      <c r="P183" s="16"/>
      <c r="Q183" s="18"/>
      <c r="R183"/>
    </row>
    <row r="184" spans="9:18" x14ac:dyDescent="0.3">
      <c r="I184" s="2"/>
      <c r="L184" s="10"/>
      <c r="P184" s="16"/>
      <c r="Q184" s="18"/>
      <c r="R184"/>
    </row>
    <row r="185" spans="9:18" x14ac:dyDescent="0.3">
      <c r="I185" s="2"/>
      <c r="L185" s="10"/>
      <c r="P185" s="16"/>
      <c r="Q185" s="18"/>
      <c r="R185"/>
    </row>
    <row r="186" spans="9:18" x14ac:dyDescent="0.3">
      <c r="I186" s="2"/>
      <c r="L186" s="10"/>
      <c r="P186" s="16"/>
      <c r="Q186" s="18"/>
      <c r="R186"/>
    </row>
    <row r="187" spans="9:18" x14ac:dyDescent="0.3">
      <c r="I187" s="2"/>
      <c r="L187" s="10"/>
      <c r="O187" s="12"/>
      <c r="P187" s="16"/>
      <c r="Q187" s="18"/>
      <c r="R187"/>
    </row>
    <row r="188" spans="9:18" x14ac:dyDescent="0.3">
      <c r="I188" s="2"/>
      <c r="L188" s="10"/>
      <c r="P188" s="16"/>
      <c r="Q188" s="18"/>
      <c r="R188"/>
    </row>
    <row r="189" spans="9:18" x14ac:dyDescent="0.3">
      <c r="I189" s="2"/>
      <c r="L189" s="10"/>
      <c r="P189" s="16"/>
      <c r="Q189" s="18"/>
      <c r="R189"/>
    </row>
    <row r="190" spans="9:18" x14ac:dyDescent="0.3">
      <c r="I190" s="2"/>
      <c r="L190" s="10"/>
      <c r="P190" s="16"/>
      <c r="Q190" s="18"/>
      <c r="R190"/>
    </row>
    <row r="191" spans="9:18" x14ac:dyDescent="0.3">
      <c r="I191" s="2"/>
      <c r="L191" s="10"/>
      <c r="P191" s="16"/>
      <c r="Q191" s="18"/>
      <c r="R191"/>
    </row>
    <row r="192" spans="9:18" x14ac:dyDescent="0.3">
      <c r="I192" s="2"/>
      <c r="L192" s="10"/>
      <c r="P192" s="16"/>
      <c r="Q192" s="18"/>
      <c r="R192"/>
    </row>
    <row r="193" spans="9:18" x14ac:dyDescent="0.3">
      <c r="I193" s="2"/>
      <c r="L193" s="10"/>
      <c r="P193" s="16"/>
      <c r="Q193" s="18"/>
      <c r="R193"/>
    </row>
    <row r="194" spans="9:18" x14ac:dyDescent="0.3">
      <c r="I194" s="2"/>
      <c r="L194" s="10"/>
      <c r="P194" s="16"/>
      <c r="Q194" s="18"/>
      <c r="R194"/>
    </row>
    <row r="195" spans="9:18" x14ac:dyDescent="0.3">
      <c r="I195" s="2"/>
      <c r="L195" s="10"/>
      <c r="O195" s="12"/>
      <c r="P195" s="16"/>
      <c r="Q195" s="18"/>
      <c r="R195"/>
    </row>
    <row r="196" spans="9:18" x14ac:dyDescent="0.3">
      <c r="I196" s="2"/>
      <c r="L196" s="10"/>
      <c r="P196" s="16"/>
      <c r="Q196" s="18"/>
      <c r="R196"/>
    </row>
    <row r="197" spans="9:18" x14ac:dyDescent="0.3">
      <c r="I197" s="2"/>
      <c r="L197" s="10"/>
      <c r="P197" s="16"/>
      <c r="Q197" s="18"/>
      <c r="R197"/>
    </row>
    <row r="198" spans="9:18" x14ac:dyDescent="0.3">
      <c r="I198" s="2"/>
      <c r="L198" s="10"/>
      <c r="P198" s="16"/>
      <c r="Q198" s="18"/>
      <c r="R198"/>
    </row>
    <row r="199" spans="9:18" x14ac:dyDescent="0.3">
      <c r="I199" s="2"/>
      <c r="L199" s="10"/>
      <c r="P199" s="16"/>
      <c r="Q199" s="18"/>
      <c r="R199"/>
    </row>
    <row r="200" spans="9:18" x14ac:dyDescent="0.3">
      <c r="I200" s="2"/>
      <c r="L200" s="10"/>
      <c r="P200" s="16"/>
      <c r="Q200" s="18"/>
      <c r="R200"/>
    </row>
    <row r="201" spans="9:18" x14ac:dyDescent="0.3">
      <c r="I201" s="2"/>
      <c r="L201" s="10"/>
      <c r="P201" s="16"/>
      <c r="Q201" s="18"/>
      <c r="R201"/>
    </row>
    <row r="202" spans="9:18" x14ac:dyDescent="0.3">
      <c r="I202" s="2"/>
      <c r="L202" s="10"/>
      <c r="P202" s="16"/>
      <c r="Q202" s="18"/>
      <c r="R202"/>
    </row>
    <row r="203" spans="9:18" x14ac:dyDescent="0.3">
      <c r="I203" s="2"/>
      <c r="L203" s="10"/>
      <c r="O203" s="12"/>
      <c r="P203" s="16"/>
      <c r="Q203" s="18"/>
      <c r="R203"/>
    </row>
    <row r="204" spans="9:18" x14ac:dyDescent="0.3">
      <c r="I204" s="2"/>
      <c r="L204" s="10"/>
      <c r="P204" s="16"/>
      <c r="Q204" s="18"/>
      <c r="R204"/>
    </row>
    <row r="205" spans="9:18" x14ac:dyDescent="0.3">
      <c r="I205" s="2"/>
      <c r="L205" s="10"/>
      <c r="P205" s="16"/>
      <c r="Q205" s="18"/>
      <c r="R205"/>
    </row>
    <row r="206" spans="9:18" x14ac:dyDescent="0.3">
      <c r="I206" s="2"/>
      <c r="L206" s="10"/>
      <c r="P206" s="16"/>
      <c r="Q206" s="18"/>
      <c r="R206"/>
    </row>
    <row r="207" spans="9:18" x14ac:dyDescent="0.3">
      <c r="I207" s="2"/>
      <c r="L207" s="10"/>
      <c r="P207" s="16"/>
      <c r="Q207" s="18"/>
      <c r="R207"/>
    </row>
    <row r="208" spans="9:18" x14ac:dyDescent="0.3">
      <c r="I208" s="2"/>
      <c r="L208" s="10"/>
      <c r="P208" s="16"/>
      <c r="Q208" s="18"/>
      <c r="R208"/>
    </row>
    <row r="209" spans="9:18" x14ac:dyDescent="0.3">
      <c r="I209" s="2"/>
      <c r="L209" s="10"/>
      <c r="P209" s="16"/>
      <c r="Q209" s="18"/>
      <c r="R209"/>
    </row>
    <row r="210" spans="9:18" x14ac:dyDescent="0.3">
      <c r="I210" s="2"/>
      <c r="L210" s="10"/>
      <c r="P210" s="16"/>
      <c r="Q210" s="18"/>
      <c r="R210"/>
    </row>
    <row r="211" spans="9:18" x14ac:dyDescent="0.3">
      <c r="I211" s="2"/>
      <c r="L211" s="10"/>
      <c r="P211" s="16"/>
      <c r="Q211" s="18"/>
      <c r="R211"/>
    </row>
    <row r="212" spans="9:18" x14ac:dyDescent="0.3">
      <c r="I212" s="2"/>
      <c r="L212" s="10"/>
      <c r="P212" s="16"/>
      <c r="Q212" s="18"/>
      <c r="R212"/>
    </row>
    <row r="213" spans="9:18" x14ac:dyDescent="0.3">
      <c r="I213" s="2"/>
      <c r="L213" s="10"/>
      <c r="P213" s="16"/>
      <c r="Q213" s="18"/>
      <c r="R213"/>
    </row>
    <row r="214" spans="9:18" x14ac:dyDescent="0.3">
      <c r="I214" s="2"/>
      <c r="L214" s="10"/>
      <c r="P214" s="16"/>
      <c r="Q214" s="18"/>
      <c r="R214"/>
    </row>
    <row r="215" spans="9:18" x14ac:dyDescent="0.3">
      <c r="I215" s="2"/>
      <c r="L215" s="10"/>
      <c r="P215" s="16"/>
      <c r="Q215" s="18"/>
      <c r="R215"/>
    </row>
    <row r="216" spans="9:18" x14ac:dyDescent="0.3">
      <c r="I216" s="2"/>
      <c r="L216" s="10"/>
      <c r="P216" s="16"/>
      <c r="Q216" s="18"/>
      <c r="R216"/>
    </row>
    <row r="217" spans="9:18" x14ac:dyDescent="0.3">
      <c r="I217" s="2"/>
      <c r="L217" s="10"/>
      <c r="P217" s="16"/>
      <c r="Q217" s="18"/>
      <c r="R217"/>
    </row>
    <row r="218" spans="9:18" x14ac:dyDescent="0.3">
      <c r="I218" s="2"/>
      <c r="L218" s="10"/>
      <c r="P218" s="16"/>
      <c r="Q218" s="18"/>
      <c r="R218"/>
    </row>
    <row r="219" spans="9:18" x14ac:dyDescent="0.3">
      <c r="I219" s="2"/>
      <c r="L219" s="10"/>
      <c r="P219" s="16"/>
      <c r="Q219" s="18"/>
      <c r="R219"/>
    </row>
    <row r="220" spans="9:18" x14ac:dyDescent="0.3">
      <c r="I220" s="2"/>
      <c r="L220" s="10"/>
      <c r="P220" s="16"/>
      <c r="Q220" s="18"/>
      <c r="R220"/>
    </row>
    <row r="221" spans="9:18" x14ac:dyDescent="0.3">
      <c r="I221" s="2"/>
      <c r="L221" s="10"/>
      <c r="P221" s="16"/>
      <c r="Q221" s="18"/>
      <c r="R221"/>
    </row>
    <row r="222" spans="9:18" x14ac:dyDescent="0.3">
      <c r="I222" s="2"/>
      <c r="L222" s="10"/>
      <c r="P222" s="16"/>
      <c r="Q222" s="18"/>
      <c r="R222"/>
    </row>
    <row r="223" spans="9:18" x14ac:dyDescent="0.3">
      <c r="I223" s="2"/>
      <c r="L223" s="10"/>
      <c r="P223" s="16"/>
      <c r="Q223" s="18"/>
      <c r="R223"/>
    </row>
    <row r="224" spans="9:18" x14ac:dyDescent="0.3">
      <c r="I224" s="2"/>
      <c r="L224" s="10"/>
      <c r="P224" s="16"/>
      <c r="Q224" s="18"/>
      <c r="R224"/>
    </row>
    <row r="225" spans="9:18" x14ac:dyDescent="0.3">
      <c r="I225" s="2"/>
      <c r="L225" s="10"/>
      <c r="P225" s="16"/>
      <c r="Q225" s="18"/>
      <c r="R225"/>
    </row>
    <row r="226" spans="9:18" x14ac:dyDescent="0.3">
      <c r="I226" s="2"/>
      <c r="L226" s="10"/>
      <c r="P226" s="16"/>
      <c r="Q226" s="18"/>
      <c r="R226"/>
    </row>
    <row r="227" spans="9:18" x14ac:dyDescent="0.3">
      <c r="I227" s="2"/>
      <c r="L227" s="10"/>
      <c r="P227" s="16"/>
      <c r="Q227" s="18"/>
      <c r="R227"/>
    </row>
    <row r="228" spans="9:18" x14ac:dyDescent="0.3">
      <c r="I228" s="2"/>
      <c r="L228" s="10"/>
      <c r="P228" s="16"/>
      <c r="Q228" s="18"/>
      <c r="R228"/>
    </row>
    <row r="229" spans="9:18" x14ac:dyDescent="0.3">
      <c r="I229" s="2"/>
      <c r="L229" s="10"/>
      <c r="P229" s="16"/>
      <c r="Q229" s="18"/>
      <c r="R229"/>
    </row>
    <row r="230" spans="9:18" x14ac:dyDescent="0.3">
      <c r="I230" s="2"/>
      <c r="L230" s="10"/>
      <c r="P230" s="16"/>
      <c r="Q230" s="18"/>
      <c r="R230"/>
    </row>
    <row r="231" spans="9:18" x14ac:dyDescent="0.3">
      <c r="I231" s="2"/>
      <c r="L231" s="10"/>
      <c r="P231" s="16"/>
      <c r="Q231" s="18"/>
      <c r="R231"/>
    </row>
    <row r="232" spans="9:18" x14ac:dyDescent="0.3">
      <c r="I232" s="2"/>
      <c r="L232" s="10"/>
      <c r="P232" s="16"/>
      <c r="Q232" s="18"/>
      <c r="R232"/>
    </row>
    <row r="233" spans="9:18" x14ac:dyDescent="0.3">
      <c r="I233" s="2"/>
      <c r="L233" s="10"/>
      <c r="P233" s="16"/>
      <c r="Q233" s="18"/>
      <c r="R233"/>
    </row>
    <row r="234" spans="9:18" x14ac:dyDescent="0.3">
      <c r="I234" s="2"/>
      <c r="L234" s="10"/>
      <c r="P234" s="16"/>
      <c r="Q234" s="18"/>
      <c r="R234"/>
    </row>
    <row r="235" spans="9:18" x14ac:dyDescent="0.3">
      <c r="I235" s="2"/>
      <c r="L235" s="10"/>
      <c r="P235" s="16"/>
      <c r="Q235" s="18"/>
      <c r="R235"/>
    </row>
    <row r="236" spans="9:18" x14ac:dyDescent="0.3">
      <c r="I236" s="2"/>
      <c r="L236" s="10"/>
      <c r="P236" s="16"/>
      <c r="Q236" s="18"/>
      <c r="R236"/>
    </row>
    <row r="237" spans="9:18" x14ac:dyDescent="0.3">
      <c r="I237" s="2"/>
      <c r="L237" s="10"/>
      <c r="P237" s="16"/>
      <c r="Q237" s="18"/>
      <c r="R237"/>
    </row>
    <row r="238" spans="9:18" x14ac:dyDescent="0.3">
      <c r="I238" s="2"/>
      <c r="L238" s="10"/>
      <c r="P238" s="16"/>
      <c r="Q238" s="18"/>
      <c r="R238"/>
    </row>
    <row r="239" spans="9:18" x14ac:dyDescent="0.3">
      <c r="I239" s="2"/>
      <c r="L239" s="10"/>
      <c r="P239" s="16"/>
      <c r="Q239" s="18"/>
      <c r="R239"/>
    </row>
    <row r="240" spans="9:18" x14ac:dyDescent="0.3">
      <c r="I240" s="2"/>
      <c r="L240" s="10"/>
      <c r="P240" s="16"/>
      <c r="Q240" s="18"/>
      <c r="R240"/>
    </row>
    <row r="241" spans="9:18" x14ac:dyDescent="0.3">
      <c r="I241" s="2"/>
      <c r="L241" s="10"/>
      <c r="P241" s="16"/>
      <c r="Q241" s="18"/>
      <c r="R241"/>
    </row>
    <row r="242" spans="9:18" x14ac:dyDescent="0.3">
      <c r="I242" s="2"/>
      <c r="L242" s="10"/>
      <c r="O242" s="20"/>
      <c r="P242" s="16"/>
      <c r="Q242" s="18"/>
      <c r="R242"/>
    </row>
    <row r="243" spans="9:18" x14ac:dyDescent="0.3">
      <c r="I243" s="2"/>
      <c r="L243" s="10"/>
      <c r="P243" s="16"/>
      <c r="Q243" s="18"/>
      <c r="R243"/>
    </row>
    <row r="244" spans="9:18" x14ac:dyDescent="0.3">
      <c r="I244" s="2"/>
      <c r="L244" s="10"/>
      <c r="P244" s="16"/>
      <c r="Q244" s="18"/>
      <c r="R244"/>
    </row>
    <row r="245" spans="9:18" x14ac:dyDescent="0.3">
      <c r="I245" s="2"/>
      <c r="L245" s="10"/>
      <c r="P245" s="16"/>
      <c r="Q245" s="18"/>
      <c r="R245"/>
    </row>
    <row r="246" spans="9:18" x14ac:dyDescent="0.3">
      <c r="I246" s="2"/>
      <c r="L246" s="10"/>
      <c r="P246" s="16"/>
      <c r="Q246" s="18"/>
      <c r="R246"/>
    </row>
    <row r="247" spans="9:18" x14ac:dyDescent="0.3">
      <c r="I247" s="2"/>
      <c r="L247" s="10"/>
      <c r="P247" s="16"/>
      <c r="Q247" s="18"/>
      <c r="R247"/>
    </row>
    <row r="248" spans="9:18" x14ac:dyDescent="0.3">
      <c r="I248" s="2"/>
      <c r="L248" s="10"/>
      <c r="P248" s="16"/>
      <c r="Q248" s="18"/>
      <c r="R248"/>
    </row>
    <row r="249" spans="9:18" x14ac:dyDescent="0.3">
      <c r="I249" s="2"/>
      <c r="L249" s="10"/>
      <c r="P249" s="16"/>
      <c r="Q249" s="18"/>
      <c r="R249"/>
    </row>
    <row r="250" spans="9:18" x14ac:dyDescent="0.3">
      <c r="I250" s="2"/>
      <c r="L250" s="10"/>
      <c r="P250" s="16"/>
      <c r="Q250" s="18"/>
      <c r="R250"/>
    </row>
    <row r="251" spans="9:18" x14ac:dyDescent="0.3">
      <c r="I251" s="2"/>
      <c r="L251" s="10"/>
      <c r="P251" s="16"/>
      <c r="Q251" s="18"/>
      <c r="R251"/>
    </row>
    <row r="252" spans="9:18" x14ac:dyDescent="0.3">
      <c r="I252" s="2"/>
      <c r="L252" s="10"/>
      <c r="P252" s="16"/>
      <c r="Q252" s="18"/>
      <c r="R252"/>
    </row>
    <row r="253" spans="9:18" x14ac:dyDescent="0.3">
      <c r="I253" s="2"/>
      <c r="L253" s="10"/>
      <c r="P253" s="16"/>
      <c r="Q253" s="18"/>
      <c r="R253"/>
    </row>
    <row r="254" spans="9:18" x14ac:dyDescent="0.3">
      <c r="I254" s="2"/>
      <c r="L254" s="10"/>
      <c r="P254" s="16"/>
      <c r="Q254" s="18"/>
      <c r="R254"/>
    </row>
    <row r="255" spans="9:18" x14ac:dyDescent="0.3">
      <c r="I255" s="2"/>
      <c r="L255" s="10"/>
      <c r="P255" s="16"/>
      <c r="Q255" s="18"/>
      <c r="R255"/>
    </row>
    <row r="256" spans="9:18" x14ac:dyDescent="0.3">
      <c r="I256" s="2"/>
      <c r="L256" s="10"/>
      <c r="P256" s="16"/>
      <c r="Q256" s="18"/>
      <c r="R256"/>
    </row>
    <row r="257" spans="9:18" x14ac:dyDescent="0.3">
      <c r="I257" s="2"/>
      <c r="L257" s="10"/>
      <c r="P257" s="16"/>
      <c r="Q257" s="18"/>
      <c r="R257"/>
    </row>
    <row r="258" spans="9:18" x14ac:dyDescent="0.3">
      <c r="I258" s="2"/>
      <c r="L258" s="10"/>
      <c r="P258" s="16"/>
      <c r="Q258" s="18"/>
      <c r="R258"/>
    </row>
    <row r="259" spans="9:18" x14ac:dyDescent="0.3">
      <c r="I259" s="2"/>
      <c r="L259" s="10"/>
      <c r="O259" s="12"/>
      <c r="P259" s="16"/>
      <c r="Q259" s="18"/>
      <c r="R259"/>
    </row>
    <row r="260" spans="9:18" x14ac:dyDescent="0.3">
      <c r="I260" s="2"/>
      <c r="L260" s="10"/>
      <c r="P260" s="16"/>
      <c r="Q260" s="18"/>
      <c r="R260"/>
    </row>
    <row r="261" spans="9:18" x14ac:dyDescent="0.3">
      <c r="I261" s="2"/>
      <c r="L261" s="10"/>
      <c r="P261" s="16"/>
      <c r="Q261" s="18"/>
      <c r="R261"/>
    </row>
    <row r="262" spans="9:18" x14ac:dyDescent="0.3">
      <c r="I262" s="2"/>
      <c r="L262" s="10"/>
      <c r="P262" s="16"/>
      <c r="Q262" s="18"/>
      <c r="R262"/>
    </row>
    <row r="263" spans="9:18" x14ac:dyDescent="0.3">
      <c r="I263" s="2"/>
      <c r="L263" s="10"/>
      <c r="O263" s="21"/>
      <c r="P263" s="16"/>
      <c r="Q263" s="18"/>
      <c r="R263"/>
    </row>
    <row r="264" spans="9:18" x14ac:dyDescent="0.3">
      <c r="I264" s="2"/>
      <c r="L264" s="10"/>
      <c r="P264" s="16"/>
      <c r="Q264" s="18"/>
      <c r="R264"/>
    </row>
    <row r="265" spans="9:18" x14ac:dyDescent="0.3">
      <c r="I265" s="2"/>
      <c r="L265" s="10"/>
      <c r="P265" s="16"/>
      <c r="Q265" s="18"/>
      <c r="R265"/>
    </row>
    <row r="266" spans="9:18" x14ac:dyDescent="0.3">
      <c r="I266" s="2"/>
      <c r="L266" s="10"/>
      <c r="P266" s="16"/>
      <c r="Q266" s="18"/>
      <c r="R266"/>
    </row>
    <row r="267" spans="9:18" x14ac:dyDescent="0.3">
      <c r="I267" s="2"/>
      <c r="L267" s="10"/>
      <c r="O267" s="12"/>
      <c r="P267" s="16"/>
      <c r="Q267" s="18"/>
      <c r="R267"/>
    </row>
    <row r="268" spans="9:18" x14ac:dyDescent="0.3">
      <c r="I268" s="2"/>
      <c r="L268" s="10"/>
      <c r="P268" s="16"/>
      <c r="Q268" s="18"/>
      <c r="R268"/>
    </row>
    <row r="269" spans="9:18" x14ac:dyDescent="0.3">
      <c r="I269" s="2"/>
      <c r="L269" s="10"/>
      <c r="P269" s="16"/>
      <c r="Q269" s="18"/>
      <c r="R269"/>
    </row>
    <row r="270" spans="9:18" x14ac:dyDescent="0.3">
      <c r="I270" s="2"/>
      <c r="L270" s="10"/>
      <c r="P270" s="16"/>
      <c r="Q270" s="18"/>
      <c r="R270"/>
    </row>
    <row r="271" spans="9:18" x14ac:dyDescent="0.3">
      <c r="I271" s="2"/>
      <c r="L271" s="10"/>
      <c r="P271" s="16"/>
      <c r="Q271" s="18"/>
      <c r="R271"/>
    </row>
    <row r="272" spans="9:18" x14ac:dyDescent="0.3">
      <c r="I272" s="2"/>
      <c r="L272" s="10"/>
      <c r="P272" s="16"/>
      <c r="Q272" s="18"/>
      <c r="R272"/>
    </row>
    <row r="273" spans="9:18" x14ac:dyDescent="0.3">
      <c r="I273" s="2"/>
      <c r="L273" s="10"/>
      <c r="P273" s="16"/>
      <c r="Q273" s="18"/>
      <c r="R273"/>
    </row>
    <row r="274" spans="9:18" x14ac:dyDescent="0.3">
      <c r="I274" s="2"/>
      <c r="L274" s="10"/>
      <c r="P274" s="16"/>
      <c r="Q274" s="18"/>
      <c r="R274"/>
    </row>
    <row r="275" spans="9:18" x14ac:dyDescent="0.3">
      <c r="I275" s="2"/>
      <c r="L275" s="10"/>
      <c r="O275" s="12"/>
      <c r="P275" s="16"/>
      <c r="Q275" s="18"/>
      <c r="R275" s="11"/>
    </row>
    <row r="276" spans="9:18" x14ac:dyDescent="0.3">
      <c r="I276" s="2"/>
      <c r="L276" s="10"/>
      <c r="P276" s="16"/>
      <c r="Q276" s="18"/>
      <c r="R276"/>
    </row>
    <row r="277" spans="9:18" x14ac:dyDescent="0.3">
      <c r="I277" s="2"/>
      <c r="L277" s="10"/>
      <c r="P277" s="16"/>
      <c r="Q277" s="18"/>
      <c r="R277"/>
    </row>
    <row r="278" spans="9:18" x14ac:dyDescent="0.3">
      <c r="I278" s="2"/>
      <c r="L278" s="10"/>
      <c r="P278" s="16"/>
      <c r="Q278" s="18"/>
      <c r="R278"/>
    </row>
    <row r="279" spans="9:18" x14ac:dyDescent="0.3">
      <c r="I279" s="2"/>
      <c r="L279" s="10"/>
      <c r="P279" s="16"/>
      <c r="Q279" s="18"/>
      <c r="R279"/>
    </row>
    <row r="280" spans="9:18" x14ac:dyDescent="0.3">
      <c r="I280" s="2"/>
      <c r="L280" s="10"/>
      <c r="P280" s="16"/>
      <c r="Q280" s="18"/>
      <c r="R280"/>
    </row>
    <row r="281" spans="9:18" x14ac:dyDescent="0.3">
      <c r="I281" s="2"/>
      <c r="L281" s="10"/>
      <c r="P281" s="16"/>
      <c r="Q281" s="18"/>
      <c r="R281"/>
    </row>
    <row r="282" spans="9:18" x14ac:dyDescent="0.3">
      <c r="I282" s="2"/>
      <c r="L282" s="10"/>
      <c r="P282" s="16"/>
      <c r="Q282" s="18"/>
      <c r="R282"/>
    </row>
    <row r="283" spans="9:18" x14ac:dyDescent="0.3">
      <c r="I283" s="2"/>
      <c r="L283" s="10"/>
      <c r="O283" s="12"/>
      <c r="P283" s="16"/>
      <c r="Q283" s="18"/>
      <c r="R283" s="11"/>
    </row>
    <row r="284" spans="9:18" x14ac:dyDescent="0.3">
      <c r="I284" s="2"/>
      <c r="L284" s="10"/>
      <c r="P284" s="16"/>
      <c r="Q284" s="18"/>
      <c r="R284"/>
    </row>
    <row r="285" spans="9:18" x14ac:dyDescent="0.3">
      <c r="I285" s="2"/>
      <c r="L285" s="10"/>
      <c r="P285" s="16"/>
      <c r="Q285" s="18"/>
      <c r="R285"/>
    </row>
    <row r="286" spans="9:18" x14ac:dyDescent="0.3">
      <c r="I286" s="2"/>
      <c r="L286" s="10"/>
      <c r="P286" s="16"/>
      <c r="Q286" s="18"/>
      <c r="R286"/>
    </row>
    <row r="287" spans="9:18" x14ac:dyDescent="0.3">
      <c r="I287" s="2"/>
      <c r="L287" s="10"/>
      <c r="P287" s="16"/>
      <c r="Q287" s="18"/>
      <c r="R287"/>
    </row>
    <row r="288" spans="9:18" x14ac:dyDescent="0.3">
      <c r="I288" s="2"/>
      <c r="L288" s="10"/>
      <c r="P288" s="16"/>
      <c r="Q288" s="18"/>
      <c r="R288"/>
    </row>
    <row r="289" spans="9:18" x14ac:dyDescent="0.3">
      <c r="I289" s="2"/>
      <c r="L289" s="10"/>
      <c r="P289" s="16"/>
      <c r="Q289" s="18"/>
      <c r="R289"/>
    </row>
    <row r="290" spans="9:18" x14ac:dyDescent="0.3">
      <c r="I290" s="2"/>
      <c r="L290" s="10"/>
      <c r="P290" s="16"/>
      <c r="Q290" s="18"/>
      <c r="R290"/>
    </row>
    <row r="291" spans="9:18" x14ac:dyDescent="0.3">
      <c r="P291" s="16"/>
      <c r="Q291" s="18"/>
      <c r="R291" s="1"/>
    </row>
    <row r="292" spans="9:18" x14ac:dyDescent="0.3">
      <c r="P292" s="16"/>
      <c r="Q292" s="18"/>
    </row>
    <row r="293" spans="9:18" x14ac:dyDescent="0.3">
      <c r="P293" s="16"/>
      <c r="Q293" s="18"/>
    </row>
    <row r="299" spans="9:18" x14ac:dyDescent="0.3">
      <c r="R299" s="1"/>
    </row>
    <row r="304" spans="9:18" x14ac:dyDescent="0.3">
      <c r="R304" s="12"/>
    </row>
    <row r="307" spans="4:18" x14ac:dyDescent="0.3">
      <c r="D307" s="9"/>
      <c r="R307" s="1"/>
    </row>
    <row r="308" spans="4:18" x14ac:dyDescent="0.3">
      <c r="D308" s="9"/>
    </row>
    <row r="315" spans="4:18" x14ac:dyDescent="0.3">
      <c r="R315" s="1"/>
    </row>
    <row r="323" spans="18:18" x14ac:dyDescent="0.3">
      <c r="R323" s="1"/>
    </row>
    <row r="331" spans="18:18" x14ac:dyDescent="0.3">
      <c r="R331" s="1"/>
    </row>
    <row r="339" spans="18:18" x14ac:dyDescent="0.3">
      <c r="R339" s="1"/>
    </row>
    <row r="347" spans="18:18" x14ac:dyDescent="0.3">
      <c r="R347" s="1"/>
    </row>
  </sheetData>
  <phoneticPr fontId="8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 sheet</vt:lpstr>
      <vt:lpstr>Final Values Only</vt:lpstr>
    </vt:vector>
  </TitlesOfParts>
  <Company>Fisheries and Oceans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Fisheries and Oceans Canada</dc:creator>
  <cp:lastModifiedBy>Proudfoot, Maddison (she, her / elle, la) (DFO/MPO)</cp:lastModifiedBy>
  <dcterms:created xsi:type="dcterms:W3CDTF">2009-06-01T15:20:29Z</dcterms:created>
  <dcterms:modified xsi:type="dcterms:W3CDTF">2025-05-30T19:44:03Z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2021-03-12T12:57:28Z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ae5003be-36b8-4907-bbaf-0000ffd44b47</vt:lpwstr>
  </property>
</Properties>
</file>