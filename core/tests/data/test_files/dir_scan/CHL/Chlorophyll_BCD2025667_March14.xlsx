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ZMP\7_Data_Management\1_ODIS_Data_Submissions\2025\BCD2025667\Chlorophyll\"/>
    </mc:Choice>
  </mc:AlternateContent>
  <xr:revisionPtr revIDLastSave="0" documentId="8_{95F9AF4A-59E2-4806-A5A3-3968C0D1E54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inal Values Only" sheetId="4" r:id="rId1"/>
    <sheet name="Working sheet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6" i="1" l="1"/>
  <c r="H83" i="1"/>
  <c r="I83" i="1" s="1"/>
  <c r="G83" i="1"/>
  <c r="F83" i="1"/>
  <c r="H82" i="1"/>
  <c r="G82" i="1"/>
  <c r="J82" i="1" s="1"/>
  <c r="F82" i="1"/>
  <c r="H81" i="1"/>
  <c r="G81" i="1"/>
  <c r="F81" i="1"/>
  <c r="I81" i="1" s="1"/>
  <c r="H80" i="1"/>
  <c r="G80" i="1"/>
  <c r="F80" i="1"/>
  <c r="J80" i="1" s="1"/>
  <c r="I79" i="1"/>
  <c r="H79" i="1"/>
  <c r="G79" i="1"/>
  <c r="J79" i="1" s="1"/>
  <c r="F79" i="1"/>
  <c r="H78" i="1"/>
  <c r="I78" i="1" s="1"/>
  <c r="M78" i="1" s="1"/>
  <c r="G78" i="1"/>
  <c r="F78" i="1"/>
  <c r="H77" i="1"/>
  <c r="G77" i="1"/>
  <c r="J77" i="1" s="1"/>
  <c r="F77" i="1"/>
  <c r="H76" i="1"/>
  <c r="G76" i="1"/>
  <c r="F76" i="1"/>
  <c r="J76" i="1" s="1"/>
  <c r="H75" i="1"/>
  <c r="I75" i="1" s="1"/>
  <c r="G75" i="1"/>
  <c r="F75" i="1"/>
  <c r="H74" i="1"/>
  <c r="G74" i="1"/>
  <c r="J74" i="1" s="1"/>
  <c r="F74" i="1"/>
  <c r="H73" i="1"/>
  <c r="I73" i="1" s="1"/>
  <c r="G73" i="1"/>
  <c r="F73" i="1"/>
  <c r="H72" i="1"/>
  <c r="G72" i="1"/>
  <c r="F72" i="1"/>
  <c r="H71" i="1"/>
  <c r="I71" i="1" s="1"/>
  <c r="G71" i="1"/>
  <c r="F71" i="1"/>
  <c r="H70" i="1"/>
  <c r="G70" i="1"/>
  <c r="F70" i="1"/>
  <c r="H69" i="1"/>
  <c r="G69" i="1"/>
  <c r="J69" i="1" s="1"/>
  <c r="F69" i="1"/>
  <c r="H68" i="1"/>
  <c r="I68" i="1" s="1"/>
  <c r="G68" i="1"/>
  <c r="F68" i="1"/>
  <c r="H67" i="1"/>
  <c r="I67" i="1" s="1"/>
  <c r="G67" i="1"/>
  <c r="F67" i="1"/>
  <c r="H66" i="1"/>
  <c r="G66" i="1"/>
  <c r="F66" i="1"/>
  <c r="H65" i="1"/>
  <c r="G65" i="1"/>
  <c r="F65" i="1"/>
  <c r="H64" i="1"/>
  <c r="G64" i="1"/>
  <c r="F64" i="1"/>
  <c r="H63" i="1"/>
  <c r="G63" i="1"/>
  <c r="F63" i="1"/>
  <c r="I63" i="1" s="1"/>
  <c r="H62" i="1"/>
  <c r="G62" i="1"/>
  <c r="F62" i="1"/>
  <c r="H61" i="1"/>
  <c r="G61" i="1"/>
  <c r="F61" i="1"/>
  <c r="H60" i="1"/>
  <c r="G60" i="1"/>
  <c r="F60" i="1"/>
  <c r="J60" i="1" s="1"/>
  <c r="H59" i="1"/>
  <c r="I59" i="1" s="1"/>
  <c r="G59" i="1"/>
  <c r="F59" i="1"/>
  <c r="H58" i="1"/>
  <c r="G58" i="1"/>
  <c r="F58" i="1"/>
  <c r="H57" i="1"/>
  <c r="G57" i="1"/>
  <c r="F57" i="1"/>
  <c r="H56" i="1"/>
  <c r="G56" i="1"/>
  <c r="F56" i="1"/>
  <c r="J56" i="1" s="1"/>
  <c r="H55" i="1"/>
  <c r="I55" i="1" s="1"/>
  <c r="G55" i="1"/>
  <c r="J55" i="1" s="1"/>
  <c r="F55" i="1"/>
  <c r="H54" i="1"/>
  <c r="I54" i="1" s="1"/>
  <c r="G54" i="1"/>
  <c r="F54" i="1"/>
  <c r="H53" i="1"/>
  <c r="G53" i="1"/>
  <c r="F53" i="1"/>
  <c r="H52" i="1"/>
  <c r="G52" i="1"/>
  <c r="F52" i="1"/>
  <c r="J52" i="1" s="1"/>
  <c r="H51" i="1"/>
  <c r="I51" i="1" s="1"/>
  <c r="G51" i="1"/>
  <c r="F51" i="1"/>
  <c r="H50" i="1"/>
  <c r="G50" i="1"/>
  <c r="J50" i="1" s="1"/>
  <c r="F50" i="1"/>
  <c r="N82" i="1" l="1"/>
  <c r="L55" i="1"/>
  <c r="M54" i="1"/>
  <c r="J75" i="1"/>
  <c r="L75" i="1" s="1"/>
  <c r="I50" i="1"/>
  <c r="M50" i="1" s="1"/>
  <c r="I80" i="1"/>
  <c r="M80" i="1" s="1"/>
  <c r="J66" i="1"/>
  <c r="N66" i="1" s="1"/>
  <c r="I76" i="1"/>
  <c r="M76" i="1" s="1"/>
  <c r="J57" i="1"/>
  <c r="L57" i="1" s="1"/>
  <c r="J62" i="1"/>
  <c r="N62" i="1" s="1"/>
  <c r="J67" i="1"/>
  <c r="J72" i="1"/>
  <c r="J70" i="1"/>
  <c r="J81" i="1"/>
  <c r="N80" i="1" s="1"/>
  <c r="J53" i="1"/>
  <c r="N52" i="1" s="1"/>
  <c r="J58" i="1"/>
  <c r="J63" i="1"/>
  <c r="J68" i="1"/>
  <c r="N68" i="1" s="1"/>
  <c r="J65" i="1"/>
  <c r="I65" i="1"/>
  <c r="K65" i="1" s="1"/>
  <c r="I62" i="1"/>
  <c r="M62" i="1" s="1"/>
  <c r="I72" i="1"/>
  <c r="M72" i="1" s="1"/>
  <c r="I53" i="1"/>
  <c r="K53" i="1" s="1"/>
  <c r="I58" i="1"/>
  <c r="M58" i="1" s="1"/>
  <c r="J73" i="1"/>
  <c r="L73" i="1" s="1"/>
  <c r="J78" i="1"/>
  <c r="N78" i="1" s="1"/>
  <c r="J83" i="1"/>
  <c r="J71" i="1"/>
  <c r="L71" i="1" s="1"/>
  <c r="I57" i="1"/>
  <c r="J51" i="1"/>
  <c r="N50" i="1" s="1"/>
  <c r="I66" i="1"/>
  <c r="M66" i="1" s="1"/>
  <c r="I52" i="1"/>
  <c r="I77" i="1"/>
  <c r="J54" i="1"/>
  <c r="N54" i="1" s="1"/>
  <c r="J59" i="1"/>
  <c r="J64" i="1"/>
  <c r="N64" i="1" s="1"/>
  <c r="I60" i="1"/>
  <c r="I61" i="1"/>
  <c r="L61" i="1" s="1"/>
  <c r="I82" i="1"/>
  <c r="M82" i="1" s="1"/>
  <c r="I70" i="1"/>
  <c r="M70" i="1" s="1"/>
  <c r="J61" i="1"/>
  <c r="N60" i="1" s="1"/>
  <c r="I56" i="1"/>
  <c r="M56" i="1" s="1"/>
  <c r="I64" i="1"/>
  <c r="I69" i="1"/>
  <c r="M68" i="1" s="1"/>
  <c r="I74" i="1"/>
  <c r="M74" i="1" s="1"/>
  <c r="L59" i="1"/>
  <c r="L64" i="1"/>
  <c r="K64" i="1"/>
  <c r="K69" i="1"/>
  <c r="L69" i="1"/>
  <c r="L74" i="1"/>
  <c r="L63" i="1"/>
  <c r="L68" i="1"/>
  <c r="K68" i="1"/>
  <c r="L79" i="1"/>
  <c r="L52" i="1"/>
  <c r="K52" i="1"/>
  <c r="K50" i="1"/>
  <c r="L50" i="1"/>
  <c r="L51" i="1"/>
  <c r="L67" i="1"/>
  <c r="K77" i="1"/>
  <c r="L77" i="1"/>
  <c r="L83" i="1"/>
  <c r="K51" i="1"/>
  <c r="K55" i="1"/>
  <c r="K59" i="1"/>
  <c r="K63" i="1"/>
  <c r="K67" i="1"/>
  <c r="K71" i="1"/>
  <c r="K79" i="1"/>
  <c r="K83" i="1"/>
  <c r="H49" i="1"/>
  <c r="G49" i="1"/>
  <c r="J49" i="1" s="1"/>
  <c r="F49" i="1"/>
  <c r="H48" i="1"/>
  <c r="G48" i="1"/>
  <c r="F48" i="1"/>
  <c r="I48" i="1" s="1"/>
  <c r="H47" i="1"/>
  <c r="G47" i="1"/>
  <c r="F47" i="1"/>
  <c r="H46" i="1"/>
  <c r="G46" i="1"/>
  <c r="F46" i="1"/>
  <c r="H45" i="1"/>
  <c r="G45" i="1"/>
  <c r="F45" i="1"/>
  <c r="H44" i="1"/>
  <c r="G44" i="1"/>
  <c r="F44" i="1"/>
  <c r="H43" i="1"/>
  <c r="G43" i="1"/>
  <c r="F43" i="1"/>
  <c r="J43" i="1" s="1"/>
  <c r="H42" i="1"/>
  <c r="G42" i="1"/>
  <c r="F42" i="1"/>
  <c r="H41" i="1"/>
  <c r="I41" i="1" s="1"/>
  <c r="G41" i="1"/>
  <c r="J41" i="1" s="1"/>
  <c r="F41" i="1"/>
  <c r="J40" i="1"/>
  <c r="N40" i="1" s="1"/>
  <c r="H40" i="1"/>
  <c r="G40" i="1"/>
  <c r="F40" i="1"/>
  <c r="H39" i="1"/>
  <c r="G39" i="1"/>
  <c r="F39" i="1"/>
  <c r="H38" i="1"/>
  <c r="G38" i="1"/>
  <c r="F38" i="1"/>
  <c r="H37" i="1"/>
  <c r="G37" i="1"/>
  <c r="F37" i="1"/>
  <c r="J37" i="1" s="1"/>
  <c r="H36" i="1"/>
  <c r="G36" i="1"/>
  <c r="F36" i="1"/>
  <c r="I36" i="1" s="1"/>
  <c r="H35" i="1"/>
  <c r="I35" i="1" s="1"/>
  <c r="G35" i="1"/>
  <c r="F35" i="1"/>
  <c r="H34" i="1"/>
  <c r="G34" i="1"/>
  <c r="J34" i="1" s="1"/>
  <c r="F34" i="1"/>
  <c r="H33" i="1"/>
  <c r="I33" i="1" s="1"/>
  <c r="G33" i="1"/>
  <c r="J33" i="1" s="1"/>
  <c r="F33" i="1"/>
  <c r="H32" i="1"/>
  <c r="G32" i="1"/>
  <c r="J32" i="1" s="1"/>
  <c r="N32" i="1" s="1"/>
  <c r="F32" i="1"/>
  <c r="H31" i="1"/>
  <c r="G31" i="1"/>
  <c r="J31" i="1" s="1"/>
  <c r="F31" i="1"/>
  <c r="H30" i="1"/>
  <c r="G30" i="1"/>
  <c r="F30" i="1"/>
  <c r="H29" i="1"/>
  <c r="G29" i="1"/>
  <c r="F29" i="1"/>
  <c r="I29" i="1" s="1"/>
  <c r="H28" i="1"/>
  <c r="G28" i="1"/>
  <c r="F28" i="1"/>
  <c r="H27" i="1"/>
  <c r="G27" i="1"/>
  <c r="F27" i="1"/>
  <c r="H26" i="1"/>
  <c r="G26" i="1"/>
  <c r="F26" i="1"/>
  <c r="H25" i="1"/>
  <c r="I25" i="1" s="1"/>
  <c r="G25" i="1"/>
  <c r="J25" i="1" s="1"/>
  <c r="F25" i="1"/>
  <c r="H24" i="1"/>
  <c r="G24" i="1"/>
  <c r="J24" i="1" s="1"/>
  <c r="N24" i="1" s="1"/>
  <c r="F24" i="1"/>
  <c r="H23" i="1"/>
  <c r="G23" i="1"/>
  <c r="F23" i="1"/>
  <c r="H22" i="1"/>
  <c r="G22" i="1"/>
  <c r="F22" i="1"/>
  <c r="H21" i="1"/>
  <c r="G21" i="1"/>
  <c r="F21" i="1"/>
  <c r="A8" i="1"/>
  <c r="H20" i="1"/>
  <c r="L25" i="1" l="1"/>
  <c r="I32" i="1"/>
  <c r="M32" i="1" s="1"/>
  <c r="I27" i="1"/>
  <c r="K27" i="1" s="1"/>
  <c r="M60" i="1"/>
  <c r="L78" i="1"/>
  <c r="L56" i="1"/>
  <c r="K73" i="1"/>
  <c r="J47" i="1"/>
  <c r="K58" i="1"/>
  <c r="I46" i="1"/>
  <c r="M46" i="1" s="1"/>
  <c r="L62" i="1"/>
  <c r="L53" i="1"/>
  <c r="N56" i="1"/>
  <c r="J36" i="1"/>
  <c r="N36" i="1" s="1"/>
  <c r="K82" i="1"/>
  <c r="I42" i="1"/>
  <c r="K70" i="1"/>
  <c r="K62" i="1"/>
  <c r="J27" i="1"/>
  <c r="L82" i="1"/>
  <c r="I28" i="1"/>
  <c r="M28" i="1" s="1"/>
  <c r="J48" i="1"/>
  <c r="N48" i="1" s="1"/>
  <c r="K72" i="1"/>
  <c r="L65" i="1"/>
  <c r="K57" i="1"/>
  <c r="K76" i="1"/>
  <c r="I26" i="1"/>
  <c r="M26" i="1" s="1"/>
  <c r="J23" i="1"/>
  <c r="J29" i="1"/>
  <c r="L29" i="1" s="1"/>
  <c r="L72" i="1"/>
  <c r="L76" i="1"/>
  <c r="M52" i="1"/>
  <c r="N58" i="1"/>
  <c r="I22" i="1"/>
  <c r="M22" i="1" s="1"/>
  <c r="J28" i="1"/>
  <c r="J39" i="1"/>
  <c r="I43" i="1"/>
  <c r="L43" i="1" s="1"/>
  <c r="K60" i="1"/>
  <c r="K80" i="1"/>
  <c r="L54" i="1"/>
  <c r="N74" i="1"/>
  <c r="J26" i="1"/>
  <c r="N26" i="1" s="1"/>
  <c r="K78" i="1"/>
  <c r="J42" i="1"/>
  <c r="N42" i="1" s="1"/>
  <c r="L66" i="1"/>
  <c r="L60" i="1"/>
  <c r="L80" i="1"/>
  <c r="K54" i="1"/>
  <c r="K56" i="1"/>
  <c r="L58" i="1"/>
  <c r="I38" i="1"/>
  <c r="I34" i="1"/>
  <c r="M34" i="1" s="1"/>
  <c r="J44" i="1"/>
  <c r="N44" i="1" s="1"/>
  <c r="I49" i="1"/>
  <c r="M48" i="1" s="1"/>
  <c r="K75" i="1"/>
  <c r="K66" i="1"/>
  <c r="L81" i="1"/>
  <c r="N70" i="1"/>
  <c r="L70" i="1"/>
  <c r="I24" i="1"/>
  <c r="M24" i="1" s="1"/>
  <c r="I21" i="1"/>
  <c r="L21" i="1" s="1"/>
  <c r="I30" i="1"/>
  <c r="K61" i="1"/>
  <c r="K81" i="1"/>
  <c r="N72" i="1"/>
  <c r="J21" i="1"/>
  <c r="J35" i="1"/>
  <c r="N34" i="1" s="1"/>
  <c r="I40" i="1"/>
  <c r="M40" i="1" s="1"/>
  <c r="J45" i="1"/>
  <c r="K74" i="1"/>
  <c r="M64" i="1"/>
  <c r="L48" i="1"/>
  <c r="K48" i="1"/>
  <c r="L24" i="1"/>
  <c r="K36" i="1"/>
  <c r="L36" i="1"/>
  <c r="L22" i="1"/>
  <c r="L40" i="1"/>
  <c r="K40" i="1"/>
  <c r="L35" i="1"/>
  <c r="K35" i="1"/>
  <c r="K32" i="1"/>
  <c r="L32" i="1"/>
  <c r="L27" i="1"/>
  <c r="J30" i="1"/>
  <c r="N30" i="1" s="1"/>
  <c r="I31" i="1"/>
  <c r="J38" i="1"/>
  <c r="N38" i="1" s="1"/>
  <c r="I39" i="1"/>
  <c r="J46" i="1"/>
  <c r="N46" i="1" s="1"/>
  <c r="I47" i="1"/>
  <c r="J22" i="1"/>
  <c r="I23" i="1"/>
  <c r="K25" i="1"/>
  <c r="K33" i="1"/>
  <c r="K41" i="1"/>
  <c r="L33" i="1"/>
  <c r="L41" i="1"/>
  <c r="I44" i="1"/>
  <c r="I45" i="1"/>
  <c r="I37" i="1"/>
  <c r="M36" i="1" s="1"/>
  <c r="G20" i="1"/>
  <c r="F20" i="1"/>
  <c r="K46" i="1" l="1"/>
  <c r="M44" i="1"/>
  <c r="K43" i="1"/>
  <c r="L42" i="1"/>
  <c r="K26" i="1"/>
  <c r="K42" i="1"/>
  <c r="K21" i="1"/>
  <c r="L26" i="1"/>
  <c r="K24" i="1"/>
  <c r="K28" i="1"/>
  <c r="M38" i="1"/>
  <c r="K49" i="1"/>
  <c r="K22" i="1"/>
  <c r="L49" i="1"/>
  <c r="L34" i="1"/>
  <c r="M42" i="1"/>
  <c r="N22" i="1"/>
  <c r="K34" i="1"/>
  <c r="K29" i="1"/>
  <c r="L28" i="1"/>
  <c r="N28" i="1"/>
  <c r="M30" i="1"/>
  <c r="L39" i="1"/>
  <c r="K39" i="1"/>
  <c r="L31" i="1"/>
  <c r="K31" i="1"/>
  <c r="L37" i="1"/>
  <c r="K37" i="1"/>
  <c r="K38" i="1"/>
  <c r="K23" i="1"/>
  <c r="L23" i="1"/>
  <c r="K44" i="1"/>
  <c r="L44" i="1"/>
  <c r="L38" i="1"/>
  <c r="L45" i="1"/>
  <c r="K45" i="1"/>
  <c r="L30" i="1"/>
  <c r="L47" i="1"/>
  <c r="K47" i="1"/>
  <c r="K30" i="1"/>
  <c r="L46" i="1"/>
  <c r="J20" i="1"/>
  <c r="I20" i="1"/>
  <c r="L20" i="1" s="1"/>
  <c r="M20" i="1"/>
  <c r="K20" i="1"/>
  <c r="N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Proudfoot, Maddison</author>
  </authors>
  <commentList>
    <comment ref="O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Proudfoot, Maddison:</t>
        </r>
        <r>
          <rPr>
            <sz val="9"/>
            <color indexed="81"/>
            <rFont val="Tahoma"/>
            <family val="2"/>
          </rPr>
          <t xml:space="preserve">
Collection date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Proudfoot, Maddison</author>
  </authors>
  <commentList>
    <comment ref="O19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Proudfoot, Maddison:</t>
        </r>
        <r>
          <rPr>
            <sz val="9"/>
            <color indexed="81"/>
            <rFont val="Tahoma"/>
            <family val="2"/>
          </rPr>
          <t xml:space="preserve">
Collection date</t>
        </r>
      </text>
    </comment>
  </commentList>
</comments>
</file>

<file path=xl/sharedStrings.xml><?xml version="1.0" encoding="utf-8"?>
<sst xmlns="http://schemas.openxmlformats.org/spreadsheetml/2006/main" count="58" uniqueCount="29">
  <si>
    <t>CHLOROPHYLL CALCULATION - various programs</t>
  </si>
  <si>
    <t>BLANKS</t>
  </si>
  <si>
    <t>I.D.</t>
  </si>
  <si>
    <t>VOLUME</t>
  </si>
  <si>
    <t>RANGE</t>
  </si>
  <si>
    <t>Rb</t>
  </si>
  <si>
    <t>Ra</t>
  </si>
  <si>
    <t>CAL.COEF</t>
  </si>
  <si>
    <t>CHL.</t>
  </si>
  <si>
    <t>PHAE.</t>
  </si>
  <si>
    <t>C+P</t>
  </si>
  <si>
    <t>CHL/P.</t>
  </si>
  <si>
    <t>MEAN C</t>
  </si>
  <si>
    <t>MEAN P</t>
  </si>
  <si>
    <t>Std Filtered</t>
  </si>
  <si>
    <t xml:space="preserve">   Blk Corrected</t>
  </si>
  <si>
    <r>
      <rPr>
        <i/>
        <sz val="12"/>
        <rFont val="Arial"/>
        <family val="2"/>
      </rPr>
      <t xml:space="preserve">Turner Designs Fluorometer </t>
    </r>
    <r>
      <rPr>
        <sz val="12"/>
        <rFont val="Arial"/>
        <family val="2"/>
      </rPr>
      <t xml:space="preserve">#5129  </t>
    </r>
  </si>
  <si>
    <t>Date</t>
  </si>
  <si>
    <t>Depth (m)</t>
  </si>
  <si>
    <t>Event</t>
  </si>
  <si>
    <t xml:space="preserve"> Comments</t>
  </si>
  <si>
    <t>Range</t>
  </si>
  <si>
    <t>Rb/Ra=</t>
  </si>
  <si>
    <t>Value</t>
  </si>
  <si>
    <t>EXAMPLE ONLY</t>
  </si>
  <si>
    <t>Cal.coef/Slope</t>
  </si>
  <si>
    <t xml:space="preserve">Mission: </t>
  </si>
  <si>
    <t>CALIBRATION: March 8 2024 (MP)</t>
  </si>
  <si>
    <t>Mission: BBMP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</si>
</sst>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9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i/>
      <sz val="12"/>
      <name val="Arial"/>
      <family val="2"/>
    </font>
    <font>
      <b/>
      <sz val="1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70">
    <xf numFmtId="0" fontId="0" fillId="0" borderId="0" xfId="0"/>
    <xf numFmtId="0" fontId="0" fillId="0" borderId="0" xfId="0" applyAlignment="1">
      <alignment horizontal="left"/>
    </xf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2" fillId="0" borderId="0" xfId="0" applyNumberFormat="1" applyFont="1" applyAlignment="1">
      <alignment horizontal="center"/>
    </xf>
    <xf numFmtId="0" fontId="1" fillId="0" borderId="0" xfId="0" applyFont="1" applyFill="1" applyBorder="1" applyAlignment="1">
      <alignment horizontal="center"/>
    </xf>
    <xf numFmtId="164" fontId="1" fillId="0" borderId="0" xfId="0" applyNumberFormat="1" applyFont="1" applyFill="1" applyBorder="1" applyAlignment="1">
      <alignment horizontal="center"/>
    </xf>
    <xf numFmtId="0" fontId="1" fillId="0" borderId="0" xfId="0" applyFont="1"/>
    <xf numFmtId="0" fontId="0" fillId="0" borderId="0" xfId="0" applyFill="1" applyAlignment="1">
      <alignment horizontal="center"/>
    </xf>
    <xf numFmtId="165" fontId="0" fillId="0" borderId="0" xfId="0" applyNumberForma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1" fillId="0" borderId="0" xfId="1" applyFont="1" applyFill="1" applyBorder="1" applyAlignment="1">
      <alignment horizontal="center"/>
    </xf>
    <xf numFmtId="1" fontId="1" fillId="0" borderId="0" xfId="1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center"/>
    </xf>
    <xf numFmtId="0" fontId="1" fillId="0" borderId="0" xfId="1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5" fontId="0" fillId="0" borderId="0" xfId="0" applyNumberFormat="1"/>
    <xf numFmtId="16" fontId="0" fillId="0" borderId="0" xfId="0" applyNumberFormat="1"/>
    <xf numFmtId="16" fontId="0" fillId="0" borderId="0" xfId="0" applyNumberFormat="1" applyAlignment="1">
      <alignment horizontal="center"/>
    </xf>
    <xf numFmtId="15" fontId="0" fillId="0" borderId="0" xfId="0" applyNumberFormat="1" applyAlignment="1">
      <alignment horizontal="center"/>
    </xf>
    <xf numFmtId="165" fontId="1" fillId="0" borderId="1" xfId="0" applyNumberFormat="1" applyFont="1" applyFill="1" applyBorder="1" applyAlignment="1">
      <alignment horizontal="center"/>
    </xf>
    <xf numFmtId="0" fontId="1" fillId="0" borderId="1" xfId="1" applyFont="1" applyFill="1" applyBorder="1" applyAlignment="1">
      <alignment horizontal="center"/>
    </xf>
    <xf numFmtId="1" fontId="1" fillId="0" borderId="1" xfId="1" applyNumberFormat="1" applyFont="1" applyBorder="1" applyAlignment="1">
      <alignment horizontal="center"/>
    </xf>
    <xf numFmtId="165" fontId="1" fillId="0" borderId="0" xfId="0" applyNumberFormat="1" applyFont="1" applyAlignment="1">
      <alignment horizontal="center"/>
    </xf>
    <xf numFmtId="165" fontId="1" fillId="0" borderId="0" xfId="0" applyNumberFormat="1" applyFont="1"/>
    <xf numFmtId="0" fontId="1" fillId="0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center"/>
    </xf>
    <xf numFmtId="0" fontId="1" fillId="0" borderId="1" xfId="1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2" fillId="0" borderId="0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5" fontId="0" fillId="2" borderId="0" xfId="0" applyNumberFormat="1" applyFill="1" applyAlignment="1">
      <alignment horizontal="center"/>
    </xf>
    <xf numFmtId="0" fontId="0" fillId="2" borderId="0" xfId="0" applyFill="1"/>
    <xf numFmtId="1" fontId="1" fillId="2" borderId="0" xfId="0" applyNumberFormat="1" applyFont="1" applyFill="1" applyAlignment="1">
      <alignment horizontal="center"/>
    </xf>
    <xf numFmtId="0" fontId="0" fillId="2" borderId="0" xfId="0" applyNumberFormat="1" applyFill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0" fillId="0" borderId="0" xfId="0" applyFill="1" applyAlignment="1">
      <alignment horizontal="left"/>
    </xf>
    <xf numFmtId="0" fontId="1" fillId="0" borderId="2" xfId="0" applyFont="1" applyFill="1" applyBorder="1" applyAlignment="1">
      <alignment horizontal="left"/>
    </xf>
    <xf numFmtId="0" fontId="0" fillId="0" borderId="8" xfId="0" applyBorder="1"/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5" xfId="0" applyBorder="1"/>
    <xf numFmtId="0" fontId="0" fillId="0" borderId="6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7" xfId="0" applyBorder="1"/>
    <xf numFmtId="0" fontId="1" fillId="0" borderId="9" xfId="0" applyFont="1" applyBorder="1" applyAlignment="1">
      <alignment horizontal="left"/>
    </xf>
    <xf numFmtId="0" fontId="2" fillId="0" borderId="4" xfId="0" applyFont="1" applyFill="1" applyBorder="1" applyAlignment="1">
      <alignment horizontal="left"/>
    </xf>
    <xf numFmtId="0" fontId="2" fillId="0" borderId="5" xfId="0" applyFont="1" applyFill="1" applyBorder="1" applyAlignment="1">
      <alignment horizontal="left"/>
    </xf>
    <xf numFmtId="0" fontId="2" fillId="0" borderId="6" xfId="0" applyFont="1" applyFill="1" applyBorder="1" applyAlignment="1">
      <alignment horizontal="left"/>
    </xf>
    <xf numFmtId="0" fontId="2" fillId="0" borderId="7" xfId="0" applyFont="1" applyFill="1" applyBorder="1" applyAlignment="1">
      <alignment horizontal="left"/>
    </xf>
    <xf numFmtId="0" fontId="1" fillId="2" borderId="12" xfId="0" applyFont="1" applyFill="1" applyBorder="1"/>
    <xf numFmtId="165" fontId="0" fillId="2" borderId="10" xfId="0" applyNumberFormat="1" applyFill="1" applyBorder="1" applyAlignment="1">
      <alignment horizontal="left"/>
    </xf>
    <xf numFmtId="165" fontId="0" fillId="2" borderId="11" xfId="0" applyNumberFormat="1" applyFill="1" applyBorder="1" applyAlignment="1">
      <alignment horizontal="left"/>
    </xf>
    <xf numFmtId="165" fontId="2" fillId="0" borderId="0" xfId="0" applyNumberFormat="1" applyFont="1" applyFill="1" applyBorder="1" applyAlignment="1">
      <alignment horizontal="center"/>
    </xf>
    <xf numFmtId="0" fontId="2" fillId="0" borderId="0" xfId="0" applyFont="1" applyFill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47"/>
  <sheetViews>
    <sheetView tabSelected="1" zoomScale="75" zoomScaleNormal="75" workbookViewId="0">
      <selection activeCell="I28" sqref="I28"/>
    </sheetView>
  </sheetViews>
  <sheetFormatPr defaultColWidth="8.85546875" defaultRowHeight="12.75" x14ac:dyDescent="0.2"/>
  <cols>
    <col min="1" max="7" width="8.85546875" style="4"/>
    <col min="8" max="8" width="9.85546875" style="12" bestFit="1" customWidth="1"/>
    <col min="9" max="9" width="8.85546875" style="22"/>
    <col min="10" max="12" width="8.85546875" style="4"/>
    <col min="13" max="14" width="8.85546875" style="30"/>
    <col min="15" max="15" width="16.85546875" style="4" bestFit="1" customWidth="1"/>
    <col min="16" max="16" width="11.5703125" style="22" bestFit="1" customWidth="1"/>
    <col min="17" max="17" width="8.85546875" style="4"/>
    <col min="18" max="18" width="40" style="4" bestFit="1" customWidth="1"/>
    <col min="19" max="16384" width="8.85546875" style="4"/>
  </cols>
  <sheetData>
    <row r="1" spans="1:20" customFormat="1" ht="15.75" x14ac:dyDescent="0.25">
      <c r="A1" s="14" t="s">
        <v>26</v>
      </c>
      <c r="G1" s="11"/>
      <c r="H1" s="8"/>
      <c r="L1" s="31"/>
      <c r="M1" s="31"/>
      <c r="N1" s="4"/>
      <c r="O1" s="17"/>
      <c r="P1" s="21"/>
    </row>
    <row r="2" spans="1:20" customFormat="1" ht="15.75" x14ac:dyDescent="0.25">
      <c r="A2" s="14" t="s">
        <v>0</v>
      </c>
      <c r="H2" s="11"/>
      <c r="I2" s="8"/>
      <c r="M2" s="31"/>
      <c r="N2" s="31"/>
      <c r="O2" s="4"/>
      <c r="P2" s="17"/>
      <c r="Q2" s="21"/>
    </row>
    <row r="3" spans="1:20" customFormat="1" ht="15" x14ac:dyDescent="0.2">
      <c r="A3" s="13" t="s">
        <v>16</v>
      </c>
      <c r="H3" s="11"/>
      <c r="I3" s="8"/>
      <c r="M3" s="31"/>
      <c r="N3" s="31"/>
      <c r="O3" s="4"/>
      <c r="P3" s="17"/>
      <c r="Q3" s="21"/>
    </row>
    <row r="4" spans="1:20" customFormat="1" ht="15" x14ac:dyDescent="0.2">
      <c r="A4" s="13" t="s">
        <v>27</v>
      </c>
      <c r="H4" s="11"/>
      <c r="I4" s="8"/>
      <c r="M4" s="31"/>
      <c r="N4" s="31"/>
      <c r="O4" s="4"/>
      <c r="P4" s="17"/>
      <c r="Q4" s="21"/>
    </row>
    <row r="5" spans="1:20" customFormat="1" x14ac:dyDescent="0.2">
      <c r="A5" s="1"/>
      <c r="C5" s="4"/>
      <c r="F5" s="12"/>
      <c r="H5" s="11"/>
      <c r="I5" s="8"/>
      <c r="M5" s="30"/>
      <c r="N5" s="30"/>
      <c r="O5" s="4"/>
      <c r="P5" s="17"/>
      <c r="Q5" s="19"/>
      <c r="R5" s="4"/>
      <c r="S5" s="4"/>
      <c r="T5" s="4"/>
    </row>
    <row r="6" spans="1:20" customFormat="1" x14ac:dyDescent="0.2">
      <c r="A6" s="1"/>
      <c r="B6" s="8" t="s">
        <v>14</v>
      </c>
      <c r="C6" s="4"/>
      <c r="F6" s="8" t="s">
        <v>15</v>
      </c>
      <c r="H6" s="12"/>
      <c r="I6" s="8"/>
      <c r="M6" s="30"/>
      <c r="N6" s="30"/>
      <c r="O6" s="4"/>
      <c r="P6" s="17"/>
      <c r="Q6" s="19"/>
      <c r="R6" s="4"/>
      <c r="S6" s="2"/>
      <c r="T6" s="5"/>
    </row>
    <row r="7" spans="1:20" s="36" customFormat="1" ht="13.5" thickBot="1" x14ac:dyDescent="0.25">
      <c r="A7" s="32" t="s">
        <v>2</v>
      </c>
      <c r="B7" s="33" t="s">
        <v>3</v>
      </c>
      <c r="C7" s="33" t="s">
        <v>4</v>
      </c>
      <c r="D7" s="33" t="s">
        <v>5</v>
      </c>
      <c r="E7" s="33" t="s">
        <v>6</v>
      </c>
      <c r="F7" s="33" t="s">
        <v>5</v>
      </c>
      <c r="G7" s="33" t="s">
        <v>6</v>
      </c>
      <c r="H7" s="33" t="s">
        <v>7</v>
      </c>
      <c r="I7" s="33" t="s">
        <v>8</v>
      </c>
      <c r="J7" s="33" t="s">
        <v>9</v>
      </c>
      <c r="K7" s="33" t="s">
        <v>10</v>
      </c>
      <c r="L7" s="33" t="s">
        <v>11</v>
      </c>
      <c r="M7" s="27" t="s">
        <v>12</v>
      </c>
      <c r="N7" s="27" t="s">
        <v>13</v>
      </c>
      <c r="O7" s="28" t="s">
        <v>17</v>
      </c>
      <c r="P7" s="29" t="s">
        <v>18</v>
      </c>
      <c r="Q7" s="34" t="s">
        <v>19</v>
      </c>
      <c r="R7" s="28" t="s">
        <v>20</v>
      </c>
      <c r="S7" s="35"/>
      <c r="T7" s="35"/>
    </row>
    <row r="8" spans="1:20" s="12" customFormat="1" x14ac:dyDescent="0.2">
      <c r="A8" s="37">
        <v>500850</v>
      </c>
      <c r="B8" s="37">
        <v>100</v>
      </c>
      <c r="C8" s="37">
        <v>8</v>
      </c>
      <c r="D8" s="37">
        <v>3.85</v>
      </c>
      <c r="E8" s="37">
        <v>3</v>
      </c>
      <c r="F8" s="37">
        <v>3.85</v>
      </c>
      <c r="G8" s="37">
        <v>3</v>
      </c>
      <c r="H8" s="37">
        <v>3.913065884837013E-3</v>
      </c>
      <c r="I8" s="6">
        <v>5.9801963325546971E-2</v>
      </c>
      <c r="J8" s="37">
        <v>0.2047056382258958</v>
      </c>
      <c r="K8" s="37">
        <v>0.26450760155144276</v>
      </c>
      <c r="L8" s="37">
        <v>0.29213637613417659</v>
      </c>
      <c r="M8" s="68">
        <v>6.5078607148389339E-2</v>
      </c>
      <c r="N8" s="68">
        <v>0.20163322441598208</v>
      </c>
      <c r="O8" s="69"/>
      <c r="P8" s="18"/>
      <c r="Q8" s="19"/>
      <c r="R8" s="12" t="s">
        <v>24</v>
      </c>
    </row>
    <row r="9" spans="1:20" x14ac:dyDescent="0.2">
      <c r="B9" s="4">
        <v>100</v>
      </c>
      <c r="C9" s="4">
        <v>8</v>
      </c>
      <c r="D9" s="4">
        <v>4.05</v>
      </c>
      <c r="E9" s="4">
        <v>3.05</v>
      </c>
      <c r="F9" s="4">
        <v>4.05</v>
      </c>
      <c r="G9" s="4">
        <v>3.05</v>
      </c>
      <c r="H9" s="12">
        <v>3.913065884837013E-3</v>
      </c>
      <c r="I9" s="22">
        <v>7.0355250971231714E-2</v>
      </c>
      <c r="J9" s="4">
        <v>0.19856081060606839</v>
      </c>
      <c r="K9" s="4">
        <v>0.26891606157730008</v>
      </c>
      <c r="L9" s="4">
        <v>0.35432596571541958</v>
      </c>
      <c r="O9" s="9"/>
      <c r="P9" s="17"/>
      <c r="Q9" s="19"/>
    </row>
    <row r="10" spans="1:20" x14ac:dyDescent="0.2">
      <c r="A10" s="4">
        <v>500851</v>
      </c>
      <c r="B10" s="4">
        <v>100</v>
      </c>
      <c r="C10" s="4">
        <v>6</v>
      </c>
      <c r="D10" s="4">
        <v>2.7</v>
      </c>
      <c r="E10" s="4">
        <v>1.5</v>
      </c>
      <c r="F10" s="4">
        <v>2.7</v>
      </c>
      <c r="G10" s="4">
        <v>1.5</v>
      </c>
      <c r="H10" s="12">
        <v>4.958061418569628E-2</v>
      </c>
      <c r="I10" s="22">
        <v>1.0697258846142119</v>
      </c>
      <c r="J10" s="4">
        <v>0.60599971363395089</v>
      </c>
      <c r="K10" s="4">
        <v>1.6757255982481629</v>
      </c>
      <c r="L10" s="4">
        <v>1.7652250661959406</v>
      </c>
      <c r="M10" s="30">
        <v>1.0697258846142117</v>
      </c>
      <c r="N10" s="30">
        <v>0.66185723357555659</v>
      </c>
    </row>
    <row r="11" spans="1:20" x14ac:dyDescent="0.2">
      <c r="B11" s="4">
        <v>100</v>
      </c>
      <c r="C11" s="4">
        <v>6</v>
      </c>
      <c r="D11" s="4">
        <v>2.8</v>
      </c>
      <c r="E11" s="4">
        <v>1.6</v>
      </c>
      <c r="F11" s="4">
        <v>2.8</v>
      </c>
      <c r="G11" s="4">
        <v>1.6</v>
      </c>
      <c r="H11" s="12">
        <v>4.958061418569628E-2</v>
      </c>
      <c r="I11" s="22">
        <v>1.0697258846142115</v>
      </c>
      <c r="J11" s="4">
        <v>0.7177147535171623</v>
      </c>
      <c r="K11" s="4">
        <v>1.7874406381313737</v>
      </c>
      <c r="L11" s="4">
        <v>1.4904610492845773</v>
      </c>
    </row>
    <row r="12" spans="1:20" x14ac:dyDescent="0.2">
      <c r="A12" s="4">
        <v>500852</v>
      </c>
      <c r="B12" s="4">
        <v>100</v>
      </c>
      <c r="C12" s="4">
        <v>6</v>
      </c>
      <c r="D12" s="4">
        <v>3.65</v>
      </c>
      <c r="E12" s="4">
        <v>1.95</v>
      </c>
      <c r="F12" s="4">
        <v>3.65</v>
      </c>
      <c r="G12" s="4">
        <v>1.95</v>
      </c>
      <c r="H12" s="12">
        <v>4.958061418569628E-2</v>
      </c>
      <c r="I12" s="22">
        <v>1.5154450032034665</v>
      </c>
      <c r="J12" s="4">
        <v>0.6629982745191445</v>
      </c>
      <c r="K12" s="4">
        <v>2.1784432777226108</v>
      </c>
      <c r="L12" s="4">
        <v>2.2857450184204167</v>
      </c>
      <c r="M12" s="30">
        <v>1.4708730913445411</v>
      </c>
      <c r="N12" s="30">
        <v>0.62378390646566206</v>
      </c>
    </row>
    <row r="13" spans="1:20" x14ac:dyDescent="0.2">
      <c r="B13" s="4">
        <v>100</v>
      </c>
      <c r="C13" s="4">
        <v>6</v>
      </c>
      <c r="D13" s="4">
        <v>3.4</v>
      </c>
      <c r="E13" s="4">
        <v>1.8</v>
      </c>
      <c r="F13" s="4">
        <v>3.4</v>
      </c>
      <c r="G13" s="4">
        <v>1.8</v>
      </c>
      <c r="H13" s="12">
        <v>4.958061418569628E-2</v>
      </c>
      <c r="I13" s="22">
        <v>1.4263011794856157</v>
      </c>
      <c r="J13" s="4">
        <v>0.58456953841217951</v>
      </c>
      <c r="K13" s="4">
        <v>2.0108707178977951</v>
      </c>
      <c r="L13" s="4">
        <v>2.4399170428205443</v>
      </c>
    </row>
    <row r="14" spans="1:20" x14ac:dyDescent="0.2">
      <c r="A14" s="4">
        <v>500853</v>
      </c>
      <c r="B14" s="4">
        <v>100</v>
      </c>
      <c r="C14" s="4">
        <v>6</v>
      </c>
      <c r="D14" s="4">
        <v>3.6</v>
      </c>
      <c r="E14" s="4">
        <v>1.9</v>
      </c>
      <c r="F14" s="4">
        <v>3.6</v>
      </c>
      <c r="G14" s="4">
        <v>1.9</v>
      </c>
      <c r="H14" s="12">
        <v>4.958061418569628E-2</v>
      </c>
      <c r="I14" s="22">
        <v>1.5154450032034668</v>
      </c>
      <c r="J14" s="4">
        <v>0.60714075457753891</v>
      </c>
      <c r="K14" s="4">
        <v>2.1225857577810059</v>
      </c>
      <c r="L14" s="4">
        <v>2.4960357079931899</v>
      </c>
      <c r="M14" s="30">
        <v>1.5154450032034665</v>
      </c>
      <c r="N14" s="30">
        <v>0.63506951454834171</v>
      </c>
    </row>
    <row r="15" spans="1:20" x14ac:dyDescent="0.2">
      <c r="B15" s="4">
        <v>100</v>
      </c>
      <c r="C15" s="4">
        <v>6</v>
      </c>
      <c r="D15" s="4">
        <v>3.65</v>
      </c>
      <c r="E15" s="4">
        <v>1.95</v>
      </c>
      <c r="F15" s="4">
        <v>3.65</v>
      </c>
      <c r="G15" s="4">
        <v>1.95</v>
      </c>
      <c r="H15" s="12">
        <v>4.958061418569628E-2</v>
      </c>
      <c r="I15" s="22">
        <v>1.5154450032034665</v>
      </c>
      <c r="J15" s="4">
        <v>0.6629982745191445</v>
      </c>
      <c r="K15" s="4">
        <v>2.1784432777226108</v>
      </c>
      <c r="L15" s="4">
        <v>2.2857450184204167</v>
      </c>
    </row>
    <row r="16" spans="1:20" x14ac:dyDescent="0.2">
      <c r="A16" s="4">
        <v>500855</v>
      </c>
      <c r="B16" s="4">
        <v>100</v>
      </c>
      <c r="C16" s="4">
        <v>8</v>
      </c>
      <c r="D16" s="4">
        <v>5.3</v>
      </c>
      <c r="E16" s="4">
        <v>3.75</v>
      </c>
      <c r="F16" s="4">
        <v>5.3</v>
      </c>
      <c r="G16" s="4">
        <v>3.75</v>
      </c>
      <c r="H16" s="12">
        <v>3.913065884837013E-3</v>
      </c>
      <c r="I16" s="22">
        <v>0.10905063900540914</v>
      </c>
      <c r="J16" s="4">
        <v>0.22158386293389426</v>
      </c>
      <c r="K16" s="4">
        <v>0.33063450193930338</v>
      </c>
      <c r="L16" s="4">
        <v>0.49214160977933002</v>
      </c>
      <c r="M16" s="30">
        <v>8.618518243975884E-2</v>
      </c>
      <c r="N16" s="30">
        <v>0.21799855934440032</v>
      </c>
    </row>
    <row r="17" spans="1:14" x14ac:dyDescent="0.2">
      <c r="B17" s="4">
        <v>100</v>
      </c>
      <c r="C17" s="4">
        <v>8</v>
      </c>
      <c r="D17" s="4">
        <v>4.05</v>
      </c>
      <c r="E17" s="4">
        <v>3.15</v>
      </c>
      <c r="F17" s="4">
        <v>4.05</v>
      </c>
      <c r="G17" s="4">
        <v>3.15</v>
      </c>
      <c r="H17" s="12">
        <v>3.913065884837013E-3</v>
      </c>
      <c r="I17" s="22">
        <v>6.3319725874108543E-2</v>
      </c>
      <c r="J17" s="4">
        <v>0.21441325575490638</v>
      </c>
      <c r="K17" s="4">
        <v>0.27773298162901494</v>
      </c>
      <c r="L17" s="4">
        <v>0.29531628373988539</v>
      </c>
    </row>
    <row r="18" spans="1:14" x14ac:dyDescent="0.2">
      <c r="A18" s="4">
        <v>500856</v>
      </c>
      <c r="B18" s="4">
        <v>100</v>
      </c>
      <c r="C18" s="4">
        <v>7</v>
      </c>
      <c r="D18" s="4">
        <v>5.3</v>
      </c>
      <c r="E18" s="4">
        <v>3.2</v>
      </c>
      <c r="F18" s="4">
        <v>5.3</v>
      </c>
      <c r="G18" s="4">
        <v>3.2</v>
      </c>
      <c r="H18" s="12">
        <v>1.1969109850497893E-2</v>
      </c>
      <c r="I18" s="22">
        <v>0.45191889931214396</v>
      </c>
      <c r="J18" s="4">
        <v>0.41108264677239548</v>
      </c>
      <c r="K18" s="4">
        <v>0.86300154608453949</v>
      </c>
      <c r="L18" s="4">
        <v>1.0993383030404549</v>
      </c>
      <c r="M18" s="30">
        <v>0.45191889931214402</v>
      </c>
      <c r="N18" s="30">
        <v>0.43130924550875172</v>
      </c>
    </row>
    <row r="19" spans="1:14" x14ac:dyDescent="0.2">
      <c r="B19" s="4">
        <v>100</v>
      </c>
      <c r="C19" s="4">
        <v>7</v>
      </c>
      <c r="D19" s="4">
        <v>5.45</v>
      </c>
      <c r="E19" s="4">
        <v>3.35</v>
      </c>
      <c r="F19" s="4">
        <v>5.45</v>
      </c>
      <c r="G19" s="4">
        <v>3.35</v>
      </c>
      <c r="H19" s="12">
        <v>1.1969109850497893E-2</v>
      </c>
      <c r="I19" s="22">
        <v>0.45191889931214413</v>
      </c>
      <c r="J19" s="4">
        <v>0.4515358442451079</v>
      </c>
      <c r="K19" s="4">
        <v>0.90345474355725197</v>
      </c>
      <c r="L19" s="4">
        <v>1.0008483381151647</v>
      </c>
    </row>
    <row r="20" spans="1:14" x14ac:dyDescent="0.2">
      <c r="A20" s="4">
        <v>500857</v>
      </c>
      <c r="B20" s="4">
        <v>100</v>
      </c>
      <c r="C20" s="4">
        <v>6</v>
      </c>
      <c r="D20" s="4">
        <v>2.85</v>
      </c>
      <c r="E20" s="4">
        <v>1.6</v>
      </c>
      <c r="F20" s="4">
        <v>2.85</v>
      </c>
      <c r="G20" s="4">
        <v>1.6</v>
      </c>
      <c r="H20" s="12">
        <v>4.958061418569628E-2</v>
      </c>
      <c r="I20" s="22">
        <v>1.1142977964731373</v>
      </c>
      <c r="J20" s="4">
        <v>0.67314284165823646</v>
      </c>
      <c r="K20" s="4">
        <v>1.7874406381313737</v>
      </c>
      <c r="L20" s="4">
        <v>1.6553660345375567</v>
      </c>
      <c r="M20" s="30">
        <v>1.0474399286847489</v>
      </c>
      <c r="N20" s="30">
        <v>0.6562144295342166</v>
      </c>
    </row>
    <row r="21" spans="1:14" x14ac:dyDescent="0.2">
      <c r="B21" s="4">
        <v>100</v>
      </c>
      <c r="C21" s="4">
        <v>6</v>
      </c>
      <c r="D21" s="4">
        <v>2.5499999999999998</v>
      </c>
      <c r="E21" s="4">
        <v>1.45</v>
      </c>
      <c r="F21" s="4">
        <v>2.5499999999999998</v>
      </c>
      <c r="G21" s="4">
        <v>1.45</v>
      </c>
      <c r="H21" s="12">
        <v>4.958061418569628E-2</v>
      </c>
      <c r="I21" s="22">
        <v>0.98058206089636069</v>
      </c>
      <c r="J21" s="4">
        <v>0.63928601741019675</v>
      </c>
      <c r="K21" s="4">
        <v>1.6198680783065575</v>
      </c>
      <c r="L21" s="4">
        <v>1.5338706528711263</v>
      </c>
    </row>
    <row r="22" spans="1:14" x14ac:dyDescent="0.2">
      <c r="A22" s="4">
        <v>500858</v>
      </c>
      <c r="B22" s="4">
        <v>100</v>
      </c>
      <c r="C22" s="4">
        <v>6</v>
      </c>
      <c r="D22" s="4">
        <v>2.8</v>
      </c>
      <c r="E22" s="4">
        <v>1.55</v>
      </c>
      <c r="F22" s="4">
        <v>2.8</v>
      </c>
      <c r="G22" s="4">
        <v>1.55</v>
      </c>
      <c r="H22" s="12">
        <v>4.958061418569628E-2</v>
      </c>
      <c r="I22" s="22">
        <v>1.1142977964731371</v>
      </c>
      <c r="J22" s="4">
        <v>0.61728532171663131</v>
      </c>
      <c r="K22" s="4">
        <v>1.7315831181897683</v>
      </c>
      <c r="L22" s="4">
        <v>1.8051584207029994</v>
      </c>
      <c r="M22" s="30">
        <v>1.2257275761204509</v>
      </c>
      <c r="N22" s="30">
        <v>0.53378430204012028</v>
      </c>
    </row>
    <row r="23" spans="1:14" x14ac:dyDescent="0.2">
      <c r="B23" s="4">
        <v>100</v>
      </c>
      <c r="C23" s="4">
        <v>6</v>
      </c>
      <c r="D23" s="4">
        <v>3.1</v>
      </c>
      <c r="E23" s="4">
        <v>1.6</v>
      </c>
      <c r="F23" s="4">
        <v>3.1</v>
      </c>
      <c r="G23" s="4">
        <v>1.6</v>
      </c>
      <c r="H23" s="12">
        <v>4.958061418569628E-2</v>
      </c>
      <c r="I23" s="22">
        <v>1.3371573557677647</v>
      </c>
      <c r="J23" s="4">
        <v>0.45028328236360926</v>
      </c>
      <c r="K23" s="4">
        <v>1.7874406381313741</v>
      </c>
      <c r="L23" s="4">
        <v>2.9695913842255282</v>
      </c>
    </row>
    <row r="24" spans="1:14" x14ac:dyDescent="0.2">
      <c r="A24" s="4">
        <v>500860</v>
      </c>
      <c r="B24" s="4">
        <v>100</v>
      </c>
      <c r="C24" s="4">
        <v>8</v>
      </c>
      <c r="D24" s="4">
        <v>4.05</v>
      </c>
      <c r="E24" s="4">
        <v>3.15</v>
      </c>
      <c r="F24" s="4">
        <v>4.05</v>
      </c>
      <c r="G24" s="4">
        <v>3.15</v>
      </c>
      <c r="H24" s="12">
        <v>3.913065884837013E-3</v>
      </c>
      <c r="I24" s="22">
        <v>6.3319725874108543E-2</v>
      </c>
      <c r="J24" s="4">
        <v>0.21441325575490638</v>
      </c>
      <c r="K24" s="4">
        <v>0.27773298162901494</v>
      </c>
      <c r="L24" s="4">
        <v>0.29531628373988539</v>
      </c>
      <c r="M24" s="30">
        <v>6.5078607148389325E-2</v>
      </c>
      <c r="N24" s="30">
        <v>0.22147129453234032</v>
      </c>
    </row>
    <row r="25" spans="1:14" x14ac:dyDescent="0.2">
      <c r="B25" s="4">
        <v>100</v>
      </c>
      <c r="C25" s="4">
        <v>8</v>
      </c>
      <c r="D25" s="4">
        <v>4.3</v>
      </c>
      <c r="E25" s="4">
        <v>3.35</v>
      </c>
      <c r="F25" s="4">
        <v>4.3</v>
      </c>
      <c r="G25" s="4">
        <v>3.35</v>
      </c>
      <c r="H25" s="12">
        <v>3.913065884837013E-3</v>
      </c>
      <c r="I25" s="22">
        <v>6.6837488422670108E-2</v>
      </c>
      <c r="J25" s="4">
        <v>0.22852933330977426</v>
      </c>
      <c r="K25" s="4">
        <v>0.29536682173244438</v>
      </c>
      <c r="L25" s="4">
        <v>0.29246787471291963</v>
      </c>
    </row>
    <row r="26" spans="1:14" x14ac:dyDescent="0.2">
      <c r="A26" s="4">
        <v>500861</v>
      </c>
      <c r="B26" s="4">
        <v>100</v>
      </c>
      <c r="C26" s="4">
        <v>6</v>
      </c>
      <c r="D26" s="4">
        <v>2.35</v>
      </c>
      <c r="E26" s="4">
        <v>1.35</v>
      </c>
      <c r="F26" s="4">
        <v>2.35</v>
      </c>
      <c r="G26" s="4">
        <v>1.35</v>
      </c>
      <c r="H26" s="12">
        <v>4.958061418569628E-2</v>
      </c>
      <c r="I26" s="22">
        <v>0.89143823717850978</v>
      </c>
      <c r="J26" s="4">
        <v>0.61671480124483669</v>
      </c>
      <c r="K26" s="4">
        <v>1.5081530384233464</v>
      </c>
      <c r="L26" s="4">
        <v>1.4454626926079037</v>
      </c>
      <c r="M26" s="30">
        <v>0.86915228124904709</v>
      </c>
      <c r="N26" s="30">
        <v>0.66692951714510196</v>
      </c>
    </row>
    <row r="27" spans="1:14" x14ac:dyDescent="0.2">
      <c r="B27" s="4">
        <v>100</v>
      </c>
      <c r="C27" s="4">
        <v>6</v>
      </c>
      <c r="D27" s="4">
        <v>2.35</v>
      </c>
      <c r="E27" s="4">
        <v>1.4</v>
      </c>
      <c r="F27" s="4">
        <v>2.35</v>
      </c>
      <c r="G27" s="4">
        <v>1.4</v>
      </c>
      <c r="H27" s="12">
        <v>4.958061418569628E-2</v>
      </c>
      <c r="I27" s="22">
        <v>0.8468663253195845</v>
      </c>
      <c r="J27" s="4">
        <v>0.71714423304536723</v>
      </c>
      <c r="K27" s="4">
        <v>1.5640105583649517</v>
      </c>
      <c r="L27" s="4">
        <v>1.1808870326173437</v>
      </c>
    </row>
    <row r="28" spans="1:14" x14ac:dyDescent="0.2">
      <c r="A28" s="4">
        <v>500862</v>
      </c>
      <c r="B28" s="4">
        <v>100</v>
      </c>
      <c r="C28" s="4">
        <v>6</v>
      </c>
      <c r="D28" s="4">
        <v>2.35</v>
      </c>
      <c r="E28" s="4">
        <v>1.35</v>
      </c>
      <c r="F28" s="4">
        <v>2.35</v>
      </c>
      <c r="G28" s="4">
        <v>1.35</v>
      </c>
      <c r="H28" s="12">
        <v>4.958061418569628E-2</v>
      </c>
      <c r="I28" s="22">
        <v>0.89143823717850978</v>
      </c>
      <c r="J28" s="4">
        <v>0.61671480124483669</v>
      </c>
      <c r="K28" s="4">
        <v>1.5081530384233464</v>
      </c>
      <c r="L28" s="4">
        <v>1.4454626926079037</v>
      </c>
      <c r="M28" s="30">
        <v>0.9582961049668981</v>
      </c>
      <c r="N28" s="30">
        <v>0.60571445339805385</v>
      </c>
    </row>
    <row r="29" spans="1:14" x14ac:dyDescent="0.2">
      <c r="B29" s="4">
        <v>100</v>
      </c>
      <c r="C29" s="4">
        <v>6</v>
      </c>
      <c r="D29" s="4">
        <v>2.6</v>
      </c>
      <c r="E29" s="4">
        <v>1.45</v>
      </c>
      <c r="F29" s="4">
        <v>2.6</v>
      </c>
      <c r="G29" s="4">
        <v>1.45</v>
      </c>
      <c r="H29" s="12">
        <v>4.958061418569628E-2</v>
      </c>
      <c r="I29" s="22">
        <v>1.0251539727552865</v>
      </c>
      <c r="J29" s="4">
        <v>0.59471410555127091</v>
      </c>
      <c r="K29" s="4">
        <v>1.6198680783065575</v>
      </c>
      <c r="L29" s="4">
        <v>1.7237761189555423</v>
      </c>
    </row>
    <row r="30" spans="1:14" x14ac:dyDescent="0.2">
      <c r="A30" s="4">
        <v>500863</v>
      </c>
      <c r="B30" s="4">
        <v>100</v>
      </c>
      <c r="C30" s="4">
        <v>6</v>
      </c>
      <c r="D30" s="4">
        <v>2.5</v>
      </c>
      <c r="E30" s="4">
        <v>1.4</v>
      </c>
      <c r="F30" s="4">
        <v>2.5</v>
      </c>
      <c r="G30" s="4">
        <v>1.4</v>
      </c>
      <c r="H30" s="12">
        <v>4.958061418569628E-2</v>
      </c>
      <c r="I30" s="22">
        <v>0.98058206089636091</v>
      </c>
      <c r="J30" s="4">
        <v>0.58342849746859105</v>
      </c>
      <c r="K30" s="4">
        <v>1.564010558364952</v>
      </c>
      <c r="L30" s="4">
        <v>1.6807236279183477</v>
      </c>
      <c r="M30" s="30">
        <v>1.0028680168258237</v>
      </c>
      <c r="N30" s="30">
        <v>0.56114254153912846</v>
      </c>
    </row>
    <row r="31" spans="1:14" x14ac:dyDescent="0.2">
      <c r="B31" s="4">
        <v>100</v>
      </c>
      <c r="C31" s="4">
        <v>6</v>
      </c>
      <c r="D31" s="4">
        <v>2.5499999999999998</v>
      </c>
      <c r="E31" s="4">
        <v>1.4</v>
      </c>
      <c r="F31" s="4">
        <v>2.5499999999999998</v>
      </c>
      <c r="G31" s="4">
        <v>1.4</v>
      </c>
      <c r="H31" s="12">
        <v>4.958061418569628E-2</v>
      </c>
      <c r="I31" s="22">
        <v>1.0251539727552863</v>
      </c>
      <c r="J31" s="4">
        <v>0.53885658560966576</v>
      </c>
      <c r="K31" s="4">
        <v>1.5640105583649522</v>
      </c>
      <c r="L31" s="4">
        <v>1.9024616199047111</v>
      </c>
    </row>
    <row r="32" spans="1:14" x14ac:dyDescent="0.2">
      <c r="A32" s="4">
        <v>500865</v>
      </c>
      <c r="B32" s="4">
        <v>100</v>
      </c>
      <c r="C32" s="4">
        <v>8</v>
      </c>
      <c r="D32" s="4">
        <v>4.8499999999999996</v>
      </c>
      <c r="E32" s="4">
        <v>3.9</v>
      </c>
      <c r="F32" s="4">
        <v>4.8499999999999996</v>
      </c>
      <c r="G32" s="4">
        <v>3.9</v>
      </c>
      <c r="H32" s="12">
        <v>3.913065884837013E-3</v>
      </c>
      <c r="I32" s="22">
        <v>6.6837488422670108E-2</v>
      </c>
      <c r="J32" s="4">
        <v>0.27702239359420544</v>
      </c>
      <c r="K32" s="4">
        <v>0.34385988201687556</v>
      </c>
      <c r="L32" s="4">
        <v>0.24127106677367244</v>
      </c>
      <c r="M32" s="30">
        <v>7.7390776068354858E-2</v>
      </c>
      <c r="N32" s="30">
        <v>0.264264875935592</v>
      </c>
    </row>
    <row r="33" spans="1:14" x14ac:dyDescent="0.2">
      <c r="B33" s="4">
        <v>100</v>
      </c>
      <c r="C33" s="4">
        <v>8</v>
      </c>
      <c r="D33" s="4">
        <v>5.0999999999999996</v>
      </c>
      <c r="E33" s="4">
        <v>3.85</v>
      </c>
      <c r="F33" s="4">
        <v>5.0999999999999996</v>
      </c>
      <c r="G33" s="4">
        <v>3.85</v>
      </c>
      <c r="H33" s="12">
        <v>3.913065884837013E-3</v>
      </c>
      <c r="I33" s="22">
        <v>8.7944063714039608E-2</v>
      </c>
      <c r="J33" s="4">
        <v>0.25150735827697857</v>
      </c>
      <c r="K33" s="4">
        <v>0.33945142199101819</v>
      </c>
      <c r="L33" s="4">
        <v>0.34966795530963779</v>
      </c>
    </row>
    <row r="34" spans="1:14" x14ac:dyDescent="0.2">
      <c r="A34" s="4">
        <v>500866</v>
      </c>
      <c r="B34" s="4">
        <v>100</v>
      </c>
      <c r="C34" s="4">
        <v>7</v>
      </c>
      <c r="D34" s="4">
        <v>7.65</v>
      </c>
      <c r="E34" s="4">
        <v>4.45</v>
      </c>
      <c r="F34" s="4">
        <v>7.65</v>
      </c>
      <c r="G34" s="4">
        <v>4.45</v>
      </c>
      <c r="H34" s="12">
        <v>1.1969109850497893E-2</v>
      </c>
      <c r="I34" s="22">
        <v>0.68863832276136239</v>
      </c>
      <c r="J34" s="4">
        <v>0.5114732022624503</v>
      </c>
      <c r="K34" s="4">
        <v>1.2001115250238126</v>
      </c>
      <c r="L34" s="4">
        <v>1.3463820190681348</v>
      </c>
      <c r="M34" s="30">
        <v>0.66711837517506978</v>
      </c>
      <c r="N34" s="30">
        <v>0.5262509502699575</v>
      </c>
    </row>
    <row r="35" spans="1:14" x14ac:dyDescent="0.2">
      <c r="B35" s="4">
        <v>100</v>
      </c>
      <c r="C35" s="4">
        <v>7</v>
      </c>
      <c r="D35" s="4">
        <v>7.4</v>
      </c>
      <c r="E35" s="4">
        <v>4.4000000000000004</v>
      </c>
      <c r="F35" s="4">
        <v>7.4</v>
      </c>
      <c r="G35" s="4">
        <v>4.4000000000000004</v>
      </c>
      <c r="H35" s="12">
        <v>1.1969109850497893E-2</v>
      </c>
      <c r="I35" s="22">
        <v>0.64559842758877717</v>
      </c>
      <c r="J35" s="4">
        <v>0.54102869827746458</v>
      </c>
      <c r="K35" s="4">
        <v>1.1866271258662417</v>
      </c>
      <c r="L35" s="4">
        <v>1.1932794501368287</v>
      </c>
    </row>
    <row r="36" spans="1:14" x14ac:dyDescent="0.2">
      <c r="A36" s="4">
        <v>500867</v>
      </c>
      <c r="B36" s="4">
        <v>100</v>
      </c>
      <c r="C36" s="4">
        <v>6</v>
      </c>
      <c r="D36" s="4">
        <v>2.7</v>
      </c>
      <c r="E36" s="4">
        <v>1.5</v>
      </c>
      <c r="F36" s="4">
        <v>2.7</v>
      </c>
      <c r="G36" s="4">
        <v>1.5</v>
      </c>
      <c r="H36" s="12">
        <v>4.958061418569628E-2</v>
      </c>
      <c r="I36" s="22">
        <v>1.0697258846142119</v>
      </c>
      <c r="J36" s="4">
        <v>0.60599971363395089</v>
      </c>
      <c r="K36" s="4">
        <v>1.6757255982481629</v>
      </c>
      <c r="L36" s="4">
        <v>1.7652250661959406</v>
      </c>
      <c r="M36" s="30">
        <v>1.1811556642615257</v>
      </c>
      <c r="N36" s="30">
        <v>0.63421373384065061</v>
      </c>
    </row>
    <row r="37" spans="1:14" x14ac:dyDescent="0.2">
      <c r="B37" s="4">
        <v>100</v>
      </c>
      <c r="C37" s="4">
        <v>6</v>
      </c>
      <c r="D37" s="4">
        <v>3.2</v>
      </c>
      <c r="E37" s="4">
        <v>1.75</v>
      </c>
      <c r="F37" s="4">
        <v>3.2</v>
      </c>
      <c r="G37" s="4">
        <v>1.75</v>
      </c>
      <c r="H37" s="12">
        <v>4.958061418569628E-2</v>
      </c>
      <c r="I37" s="22">
        <v>1.2925854439088393</v>
      </c>
      <c r="J37" s="4">
        <v>0.66242775404735044</v>
      </c>
      <c r="K37" s="4">
        <v>1.9550131979561898</v>
      </c>
      <c r="L37" s="4">
        <v>1.9512851567756702</v>
      </c>
    </row>
    <row r="38" spans="1:14" x14ac:dyDescent="0.2">
      <c r="A38" s="4">
        <v>500868</v>
      </c>
      <c r="B38" s="4">
        <v>100</v>
      </c>
      <c r="C38" s="4">
        <v>7</v>
      </c>
      <c r="D38" s="4">
        <v>6.25</v>
      </c>
      <c r="E38" s="4">
        <v>3.55</v>
      </c>
      <c r="F38" s="4">
        <v>6.25</v>
      </c>
      <c r="G38" s="4">
        <v>3.55</v>
      </c>
      <c r="H38" s="12">
        <v>1.1969109850497893E-2</v>
      </c>
      <c r="I38" s="22">
        <v>0.58103858482989956</v>
      </c>
      <c r="J38" s="4">
        <v>0.37635375535763621</v>
      </c>
      <c r="K38" s="4">
        <v>0.95739234018753572</v>
      </c>
      <c r="L38" s="4">
        <v>1.5438628592340158</v>
      </c>
      <c r="M38" s="30">
        <v>0.62945846689905793</v>
      </c>
      <c r="N38" s="30">
        <v>0.42232466739147445</v>
      </c>
    </row>
    <row r="39" spans="1:14" x14ac:dyDescent="0.2">
      <c r="B39" s="4">
        <v>100</v>
      </c>
      <c r="C39" s="4">
        <v>7</v>
      </c>
      <c r="D39" s="4">
        <v>7.4</v>
      </c>
      <c r="E39" s="4">
        <v>4.25</v>
      </c>
      <c r="F39" s="4">
        <v>7.4</v>
      </c>
      <c r="G39" s="4">
        <v>4.25</v>
      </c>
      <c r="H39" s="12">
        <v>1.1969109850497893E-2</v>
      </c>
      <c r="I39" s="22">
        <v>0.67787834896821619</v>
      </c>
      <c r="J39" s="4">
        <v>0.46829557942531275</v>
      </c>
      <c r="K39" s="4">
        <v>1.1461739283935288</v>
      </c>
      <c r="L39" s="4">
        <v>1.4475437709664079</v>
      </c>
    </row>
    <row r="40" spans="1:14" x14ac:dyDescent="0.2">
      <c r="A40" s="4">
        <v>500870</v>
      </c>
      <c r="B40" s="4">
        <v>100</v>
      </c>
      <c r="C40" s="4">
        <v>8</v>
      </c>
      <c r="D40" s="4">
        <v>2.85</v>
      </c>
      <c r="E40" s="4">
        <v>1.9</v>
      </c>
      <c r="F40" s="4">
        <v>2.85</v>
      </c>
      <c r="G40" s="4">
        <v>1.9</v>
      </c>
      <c r="H40" s="12">
        <v>3.913065884837013E-3</v>
      </c>
      <c r="I40" s="22">
        <v>6.6837488422670135E-2</v>
      </c>
      <c r="J40" s="4">
        <v>0.10068399255991023</v>
      </c>
      <c r="K40" s="4">
        <v>0.16752148098258035</v>
      </c>
      <c r="L40" s="4">
        <v>0.66383430695698398</v>
      </c>
      <c r="M40" s="30">
        <v>6.3319725874108557E-2</v>
      </c>
      <c r="N40" s="30">
        <v>9.758906506968576E-2</v>
      </c>
    </row>
    <row r="41" spans="1:14" x14ac:dyDescent="0.2">
      <c r="B41" s="4">
        <v>100</v>
      </c>
      <c r="C41" s="4">
        <v>8</v>
      </c>
      <c r="D41" s="4">
        <v>2.6</v>
      </c>
      <c r="E41" s="4">
        <v>1.75</v>
      </c>
      <c r="F41" s="4">
        <v>2.6</v>
      </c>
      <c r="G41" s="4">
        <v>1.75</v>
      </c>
      <c r="H41" s="12">
        <v>3.913065884837013E-3</v>
      </c>
      <c r="I41" s="22">
        <v>5.9801963325546971E-2</v>
      </c>
      <c r="J41" s="4">
        <v>9.449413757946129E-2</v>
      </c>
      <c r="K41" s="4">
        <v>0.15429610090500825</v>
      </c>
      <c r="L41" s="4">
        <v>0.63286426922790595</v>
      </c>
    </row>
    <row r="42" spans="1:14" x14ac:dyDescent="0.2">
      <c r="A42" s="4">
        <v>500871</v>
      </c>
      <c r="B42" s="4">
        <v>100</v>
      </c>
      <c r="C42" s="4">
        <v>7</v>
      </c>
      <c r="D42" s="4">
        <v>5.75</v>
      </c>
      <c r="E42" s="4">
        <v>3.3</v>
      </c>
      <c r="F42" s="4">
        <v>5.75</v>
      </c>
      <c r="G42" s="4">
        <v>3.3</v>
      </c>
      <c r="H42" s="12">
        <v>1.1969109850497893E-2</v>
      </c>
      <c r="I42" s="22">
        <v>0.52723871586416815</v>
      </c>
      <c r="J42" s="4">
        <v>0.36273162853551305</v>
      </c>
      <c r="K42" s="4">
        <v>0.88997034439968115</v>
      </c>
      <c r="L42" s="4">
        <v>1.4535228648045757</v>
      </c>
      <c r="M42" s="30">
        <v>0.5326187027607413</v>
      </c>
      <c r="N42" s="30">
        <v>0.39106263953286713</v>
      </c>
    </row>
    <row r="43" spans="1:14" x14ac:dyDescent="0.2">
      <c r="B43" s="4">
        <v>100</v>
      </c>
      <c r="C43" s="4">
        <v>7</v>
      </c>
      <c r="D43" s="4">
        <v>6.05</v>
      </c>
      <c r="E43" s="4">
        <v>3.55</v>
      </c>
      <c r="F43" s="4">
        <v>6.05</v>
      </c>
      <c r="G43" s="4">
        <v>3.55</v>
      </c>
      <c r="H43" s="12">
        <v>1.1969109850497893E-2</v>
      </c>
      <c r="I43" s="22">
        <v>0.53799868965731446</v>
      </c>
      <c r="J43" s="4">
        <v>0.41939365053022121</v>
      </c>
      <c r="K43" s="4">
        <v>0.95739234018753572</v>
      </c>
      <c r="L43" s="4">
        <v>1.2828012273842153</v>
      </c>
    </row>
    <row r="44" spans="1:14" x14ac:dyDescent="0.2">
      <c r="A44" s="4">
        <v>500872</v>
      </c>
      <c r="B44" s="4">
        <v>100</v>
      </c>
      <c r="C44" s="4">
        <v>7</v>
      </c>
      <c r="D44" s="4">
        <v>5.8</v>
      </c>
      <c r="E44" s="4">
        <v>3.2</v>
      </c>
      <c r="F44" s="4">
        <v>5.8</v>
      </c>
      <c r="G44" s="4">
        <v>3.2</v>
      </c>
      <c r="H44" s="12">
        <v>1.1969109850497893E-2</v>
      </c>
      <c r="I44" s="22">
        <v>0.55951863724360684</v>
      </c>
      <c r="J44" s="4">
        <v>0.30348290884093254</v>
      </c>
      <c r="K44" s="4">
        <v>0.86300154608453938</v>
      </c>
      <c r="L44" s="4">
        <v>1.8436578171091433</v>
      </c>
      <c r="M44" s="30">
        <v>0.53261870276074119</v>
      </c>
      <c r="N44" s="30">
        <v>0.28318744627229997</v>
      </c>
    </row>
    <row r="45" spans="1:14" x14ac:dyDescent="0.2">
      <c r="B45" s="4">
        <v>100</v>
      </c>
      <c r="C45" s="4">
        <v>7</v>
      </c>
      <c r="D45" s="4">
        <v>5.2</v>
      </c>
      <c r="E45" s="4">
        <v>2.85</v>
      </c>
      <c r="F45" s="4">
        <v>5.2</v>
      </c>
      <c r="G45" s="4">
        <v>2.85</v>
      </c>
      <c r="H45" s="12">
        <v>1.1969109850497893E-2</v>
      </c>
      <c r="I45" s="22">
        <v>0.50571876827787554</v>
      </c>
      <c r="J45" s="4">
        <v>0.2628919837036674</v>
      </c>
      <c r="K45" s="4">
        <v>0.76861075198154294</v>
      </c>
      <c r="L45" s="4">
        <v>1.9236751199227253</v>
      </c>
    </row>
    <row r="46" spans="1:14" x14ac:dyDescent="0.2">
      <c r="A46" s="4">
        <v>500873</v>
      </c>
      <c r="B46" s="4">
        <v>100</v>
      </c>
      <c r="C46" s="4">
        <v>7</v>
      </c>
      <c r="D46" s="4">
        <v>5.85</v>
      </c>
      <c r="E46" s="4">
        <v>3.4</v>
      </c>
      <c r="F46" s="4">
        <v>5.85</v>
      </c>
      <c r="G46" s="4">
        <v>3.4</v>
      </c>
      <c r="H46" s="12">
        <v>1.1969109850497893E-2</v>
      </c>
      <c r="I46" s="22">
        <v>0.52723871586416804</v>
      </c>
      <c r="J46" s="4">
        <v>0.3897004268506547</v>
      </c>
      <c r="K46" s="4">
        <v>0.9169391427148228</v>
      </c>
      <c r="L46" s="4">
        <v>1.3529333804559118</v>
      </c>
      <c r="M46" s="30">
        <v>0.51647874207102173</v>
      </c>
      <c r="N46" s="30">
        <v>0.34652280401351743</v>
      </c>
    </row>
    <row r="47" spans="1:14" x14ac:dyDescent="0.2">
      <c r="B47" s="4">
        <v>100</v>
      </c>
      <c r="C47" s="4">
        <v>7</v>
      </c>
      <c r="D47" s="4">
        <v>5.35</v>
      </c>
      <c r="E47" s="4">
        <v>3</v>
      </c>
      <c r="F47" s="4">
        <v>5.35</v>
      </c>
      <c r="G47" s="4">
        <v>3</v>
      </c>
      <c r="H47" s="12">
        <v>1.1969109850497893E-2</v>
      </c>
      <c r="I47" s="22">
        <v>0.50571876827787543</v>
      </c>
      <c r="J47" s="4">
        <v>0.30334518117638021</v>
      </c>
      <c r="K47" s="4">
        <v>0.80906394945425564</v>
      </c>
      <c r="L47" s="4">
        <v>1.6671396140749142</v>
      </c>
    </row>
    <row r="48" spans="1:14" x14ac:dyDescent="0.2">
      <c r="A48" s="4">
        <v>500875</v>
      </c>
      <c r="B48" s="4">
        <v>100</v>
      </c>
      <c r="C48" s="4">
        <v>8</v>
      </c>
      <c r="D48" s="4">
        <v>3.4</v>
      </c>
      <c r="E48" s="4">
        <v>2.5</v>
      </c>
      <c r="F48" s="4">
        <v>3.4</v>
      </c>
      <c r="G48" s="4">
        <v>2.5</v>
      </c>
      <c r="H48" s="12">
        <v>3.913065884837013E-3</v>
      </c>
      <c r="I48" s="22">
        <v>6.3319725874108543E-2</v>
      </c>
      <c r="J48" s="4">
        <v>0.1571032754187604</v>
      </c>
      <c r="K48" s="4">
        <v>0.22042300129286896</v>
      </c>
      <c r="L48" s="4">
        <v>0.40304523063143755</v>
      </c>
      <c r="M48" s="30">
        <v>5.9801963325546964E-2</v>
      </c>
      <c r="N48" s="30">
        <v>0.14519142787682116</v>
      </c>
    </row>
    <row r="49" spans="1:14" x14ac:dyDescent="0.2">
      <c r="B49" s="4">
        <v>100</v>
      </c>
      <c r="C49" s="4">
        <v>8</v>
      </c>
      <c r="D49" s="4">
        <v>2.95</v>
      </c>
      <c r="E49" s="4">
        <v>2.15</v>
      </c>
      <c r="F49" s="4">
        <v>2.95</v>
      </c>
      <c r="G49" s="4">
        <v>2.15</v>
      </c>
      <c r="H49" s="12">
        <v>3.913065884837013E-3</v>
      </c>
      <c r="I49" s="22">
        <v>5.6284200776985385E-2</v>
      </c>
      <c r="J49" s="4">
        <v>0.13327958033488194</v>
      </c>
      <c r="K49" s="4">
        <v>0.18956378111186734</v>
      </c>
      <c r="L49" s="4">
        <v>0.42230175571954948</v>
      </c>
    </row>
    <row r="50" spans="1:14" x14ac:dyDescent="0.2">
      <c r="A50" s="4">
        <v>500876</v>
      </c>
      <c r="B50" s="4">
        <v>100</v>
      </c>
      <c r="C50" s="4">
        <v>6</v>
      </c>
      <c r="D50" s="4">
        <v>2.25</v>
      </c>
      <c r="E50" s="4">
        <v>1.2</v>
      </c>
      <c r="F50" s="4">
        <v>2.25</v>
      </c>
      <c r="G50" s="4">
        <v>1.2</v>
      </c>
      <c r="H50" s="12">
        <v>4.958061418569628E-2</v>
      </c>
      <c r="I50" s="22">
        <v>0.93601014903743529</v>
      </c>
      <c r="J50" s="4">
        <v>0.40457032956109473</v>
      </c>
      <c r="K50" s="4">
        <v>1.34058047859853</v>
      </c>
      <c r="L50" s="4">
        <v>2.3135906927551568</v>
      </c>
      <c r="M50" s="30">
        <v>0.89143823717850967</v>
      </c>
      <c r="N50" s="30">
        <v>0.39328472147841509</v>
      </c>
    </row>
    <row r="51" spans="1:14" x14ac:dyDescent="0.2">
      <c r="B51" s="4">
        <v>100</v>
      </c>
      <c r="C51" s="4">
        <v>6</v>
      </c>
      <c r="D51" s="4">
        <v>2.0499999999999998</v>
      </c>
      <c r="E51" s="4">
        <v>1.1000000000000001</v>
      </c>
      <c r="F51" s="4">
        <v>2.0499999999999998</v>
      </c>
      <c r="G51" s="4">
        <v>1.1000000000000001</v>
      </c>
      <c r="H51" s="12">
        <v>4.958061418569628E-2</v>
      </c>
      <c r="I51" s="22">
        <v>0.84686632531958406</v>
      </c>
      <c r="J51" s="4">
        <v>0.38199911339573545</v>
      </c>
      <c r="K51" s="4">
        <v>1.2288654387153195</v>
      </c>
      <c r="L51" s="4">
        <v>2.2169326985904942</v>
      </c>
    </row>
    <row r="52" spans="1:14" x14ac:dyDescent="0.2">
      <c r="A52" s="4">
        <v>500877</v>
      </c>
      <c r="B52" s="4">
        <v>100</v>
      </c>
      <c r="C52" s="4">
        <v>6</v>
      </c>
      <c r="D52" s="4">
        <v>2.4500000000000002</v>
      </c>
      <c r="E52" s="4">
        <v>1.35</v>
      </c>
      <c r="F52" s="4">
        <v>2.4500000000000002</v>
      </c>
      <c r="G52" s="4">
        <v>1.35</v>
      </c>
      <c r="H52" s="12">
        <v>4.958061418569628E-2</v>
      </c>
      <c r="I52" s="22">
        <v>0.98058206089636091</v>
      </c>
      <c r="J52" s="4">
        <v>0.5275709775269859</v>
      </c>
      <c r="K52" s="4">
        <v>1.5081530384233468</v>
      </c>
      <c r="L52" s="4">
        <v>1.8586732452434855</v>
      </c>
      <c r="M52" s="30">
        <v>0.9805820608963608</v>
      </c>
      <c r="N52" s="30">
        <v>0.4996422175561831</v>
      </c>
    </row>
    <row r="53" spans="1:14" x14ac:dyDescent="0.2">
      <c r="B53" s="4">
        <v>100</v>
      </c>
      <c r="C53" s="4">
        <v>6</v>
      </c>
      <c r="D53" s="4">
        <v>2.4</v>
      </c>
      <c r="E53" s="4">
        <v>1.3</v>
      </c>
      <c r="F53" s="4">
        <v>2.4</v>
      </c>
      <c r="G53" s="4">
        <v>1.3</v>
      </c>
      <c r="H53" s="12">
        <v>4.958061418569628E-2</v>
      </c>
      <c r="I53" s="22">
        <v>0.98058206089636069</v>
      </c>
      <c r="J53" s="4">
        <v>0.4717134575853803</v>
      </c>
      <c r="K53" s="4">
        <v>1.452295518481741</v>
      </c>
      <c r="L53" s="4">
        <v>2.0787663466626345</v>
      </c>
    </row>
    <row r="54" spans="1:14" x14ac:dyDescent="0.2">
      <c r="A54" s="4">
        <v>500878</v>
      </c>
      <c r="B54" s="4">
        <v>100</v>
      </c>
      <c r="C54" s="4">
        <v>7</v>
      </c>
      <c r="D54" s="4">
        <v>7.3</v>
      </c>
      <c r="E54" s="4">
        <v>3.85</v>
      </c>
      <c r="F54" s="4">
        <v>7.3</v>
      </c>
      <c r="G54" s="4">
        <v>3.85</v>
      </c>
      <c r="H54" s="12">
        <v>1.1969109850497893E-2</v>
      </c>
      <c r="I54" s="22">
        <v>0.7424381917270938</v>
      </c>
      <c r="J54" s="4">
        <v>0.29586054340586743</v>
      </c>
      <c r="K54" s="4">
        <v>1.0382987351329613</v>
      </c>
      <c r="L54" s="4">
        <v>2.5094194149052251</v>
      </c>
      <c r="M54" s="30">
        <v>0.75319816552024021</v>
      </c>
      <c r="N54" s="30">
        <v>0.29184276919150665</v>
      </c>
    </row>
    <row r="55" spans="1:14" x14ac:dyDescent="0.2">
      <c r="B55" s="4">
        <v>100</v>
      </c>
      <c r="C55" s="4">
        <v>7</v>
      </c>
      <c r="D55" s="4">
        <v>7.45</v>
      </c>
      <c r="E55" s="4">
        <v>3.9</v>
      </c>
      <c r="F55" s="4">
        <v>7.45</v>
      </c>
      <c r="G55" s="4">
        <v>3.9</v>
      </c>
      <c r="H55" s="12">
        <v>1.1969109850497893E-2</v>
      </c>
      <c r="I55" s="22">
        <v>0.76395813931338652</v>
      </c>
      <c r="J55" s="4">
        <v>0.28782499497714586</v>
      </c>
      <c r="K55" s="4">
        <v>1.0517831342905324</v>
      </c>
      <c r="L55" s="4">
        <v>2.6542452971259394</v>
      </c>
    </row>
    <row r="56" spans="1:14" x14ac:dyDescent="0.2">
      <c r="A56" s="4">
        <v>500880</v>
      </c>
      <c r="B56" s="4">
        <v>100</v>
      </c>
      <c r="C56" s="4">
        <v>8</v>
      </c>
      <c r="D56" s="4">
        <v>3.55</v>
      </c>
      <c r="E56" s="4">
        <v>2.4500000000000002</v>
      </c>
      <c r="F56" s="4">
        <v>3.55</v>
      </c>
      <c r="G56" s="4">
        <v>2.4500000000000002</v>
      </c>
      <c r="H56" s="12">
        <v>3.913065884837013E-3</v>
      </c>
      <c r="I56" s="22">
        <v>7.7390776068354858E-2</v>
      </c>
      <c r="J56" s="4">
        <v>0.13862376519865671</v>
      </c>
      <c r="K56" s="4">
        <v>0.21601454126701158</v>
      </c>
      <c r="L56" s="4">
        <v>0.55827928174832742</v>
      </c>
      <c r="M56" s="30">
        <v>8.0908538616916464E-2</v>
      </c>
      <c r="N56" s="30">
        <v>0.13951446267595247</v>
      </c>
    </row>
    <row r="57" spans="1:14" x14ac:dyDescent="0.2">
      <c r="B57" s="4">
        <v>100</v>
      </c>
      <c r="C57" s="4">
        <v>8</v>
      </c>
      <c r="D57" s="4">
        <v>3.75</v>
      </c>
      <c r="E57" s="4">
        <v>2.5499999999999998</v>
      </c>
      <c r="F57" s="4">
        <v>3.75</v>
      </c>
      <c r="G57" s="4">
        <v>2.5499999999999998</v>
      </c>
      <c r="H57" s="12">
        <v>3.913065884837013E-3</v>
      </c>
      <c r="I57" s="22">
        <v>8.4426301165478071E-2</v>
      </c>
      <c r="J57" s="4">
        <v>0.14040516015324825</v>
      </c>
      <c r="K57" s="4">
        <v>0.22483146131872633</v>
      </c>
      <c r="L57" s="4">
        <v>0.60130483148432123</v>
      </c>
    </row>
    <row r="58" spans="1:14" x14ac:dyDescent="0.2">
      <c r="A58" s="4">
        <v>500881</v>
      </c>
      <c r="B58" s="4">
        <v>100</v>
      </c>
      <c r="C58" s="4">
        <v>6</v>
      </c>
      <c r="D58" s="4">
        <v>2.35</v>
      </c>
      <c r="E58" s="4">
        <v>1.25</v>
      </c>
      <c r="F58" s="4">
        <v>2.35</v>
      </c>
      <c r="G58" s="4">
        <v>1.25</v>
      </c>
      <c r="H58" s="12">
        <v>4.958061418569628E-2</v>
      </c>
      <c r="I58" s="22">
        <v>0.98058206089636091</v>
      </c>
      <c r="J58" s="4">
        <v>0.41585593764377471</v>
      </c>
      <c r="K58" s="4">
        <v>1.3964379985401356</v>
      </c>
      <c r="L58" s="4">
        <v>2.3579849946409444</v>
      </c>
      <c r="M58" s="30">
        <v>1.0251539727552861</v>
      </c>
      <c r="N58" s="30">
        <v>0.42714154572645491</v>
      </c>
    </row>
    <row r="59" spans="1:14" x14ac:dyDescent="0.2">
      <c r="B59" s="4">
        <v>100</v>
      </c>
      <c r="C59" s="4">
        <v>6</v>
      </c>
      <c r="D59" s="4">
        <v>2.5499999999999998</v>
      </c>
      <c r="E59" s="4">
        <v>1.35</v>
      </c>
      <c r="F59" s="4">
        <v>2.5499999999999998</v>
      </c>
      <c r="G59" s="4">
        <v>1.35</v>
      </c>
      <c r="H59" s="12">
        <v>4.958061418569628E-2</v>
      </c>
      <c r="I59" s="22">
        <v>1.0697258846142115</v>
      </c>
      <c r="J59" s="4">
        <v>0.43842715380913511</v>
      </c>
      <c r="K59" s="4">
        <v>1.5081530384233466</v>
      </c>
      <c r="L59" s="4">
        <v>2.4399170428205412</v>
      </c>
    </row>
    <row r="60" spans="1:14" x14ac:dyDescent="0.2">
      <c r="A60" s="4">
        <v>500882</v>
      </c>
      <c r="B60" s="4">
        <v>100</v>
      </c>
      <c r="C60" s="4">
        <v>6</v>
      </c>
      <c r="D60" s="4">
        <v>3</v>
      </c>
      <c r="E60" s="4">
        <v>1.45</v>
      </c>
      <c r="F60" s="4">
        <v>3</v>
      </c>
      <c r="G60" s="4">
        <v>1.45</v>
      </c>
      <c r="H60" s="12">
        <v>4.958061418569628E-2</v>
      </c>
      <c r="I60" s="22">
        <v>1.3817292676266906</v>
      </c>
      <c r="J60" s="4">
        <v>0.23813881067986678</v>
      </c>
      <c r="K60" s="4">
        <v>1.6198680783065573</v>
      </c>
      <c r="L60" s="4">
        <v>5.8022010930598285</v>
      </c>
      <c r="M60" s="30">
        <v>1.270299487979377</v>
      </c>
      <c r="N60" s="30">
        <v>0.32163983035637778</v>
      </c>
    </row>
    <row r="61" spans="1:14" x14ac:dyDescent="0.2">
      <c r="B61" s="4">
        <v>100</v>
      </c>
      <c r="C61" s="4">
        <v>6</v>
      </c>
      <c r="D61" s="4">
        <v>2.7</v>
      </c>
      <c r="E61" s="4">
        <v>1.4</v>
      </c>
      <c r="F61" s="4">
        <v>2.7</v>
      </c>
      <c r="G61" s="4">
        <v>1.4</v>
      </c>
      <c r="H61" s="12">
        <v>4.958061418569628E-2</v>
      </c>
      <c r="I61" s="22">
        <v>1.1588697083320632</v>
      </c>
      <c r="J61" s="4">
        <v>0.40514085003288874</v>
      </c>
      <c r="K61" s="4">
        <v>1.564010558364952</v>
      </c>
      <c r="L61" s="4">
        <v>2.860411899313505</v>
      </c>
    </row>
    <row r="62" spans="1:14" x14ac:dyDescent="0.2">
      <c r="A62" s="4">
        <v>500883</v>
      </c>
      <c r="B62" s="4">
        <v>100</v>
      </c>
      <c r="C62" s="4">
        <v>6</v>
      </c>
      <c r="D62" s="4">
        <v>2.15</v>
      </c>
      <c r="E62" s="4">
        <v>1.1499999999999999</v>
      </c>
      <c r="F62" s="4">
        <v>2.15</v>
      </c>
      <c r="G62" s="4">
        <v>1.1499999999999999</v>
      </c>
      <c r="H62" s="12">
        <v>4.958061418569628E-2</v>
      </c>
      <c r="I62" s="22">
        <v>0.89143823717850978</v>
      </c>
      <c r="J62" s="4">
        <v>0.39328472147841459</v>
      </c>
      <c r="K62" s="4">
        <v>1.2847229586569244</v>
      </c>
      <c r="L62" s="4">
        <v>2.266648533478401</v>
      </c>
      <c r="M62" s="30">
        <v>0.9582961049668981</v>
      </c>
      <c r="N62" s="30">
        <v>0.38228437363163192</v>
      </c>
    </row>
    <row r="63" spans="1:14" x14ac:dyDescent="0.2">
      <c r="B63" s="4">
        <v>100</v>
      </c>
      <c r="C63" s="4">
        <v>6</v>
      </c>
      <c r="D63" s="4">
        <v>2.4</v>
      </c>
      <c r="E63" s="4">
        <v>1.25</v>
      </c>
      <c r="F63" s="4">
        <v>2.4</v>
      </c>
      <c r="G63" s="4">
        <v>1.25</v>
      </c>
      <c r="H63" s="12">
        <v>4.958061418569628E-2</v>
      </c>
      <c r="I63" s="22">
        <v>1.0251539727552863</v>
      </c>
      <c r="J63" s="4">
        <v>0.37128402578484931</v>
      </c>
      <c r="K63" s="4">
        <v>1.3964379985401356</v>
      </c>
      <c r="L63" s="4">
        <v>2.7611044417767108</v>
      </c>
    </row>
    <row r="64" spans="1:14" x14ac:dyDescent="0.2">
      <c r="A64" s="4">
        <v>500885</v>
      </c>
      <c r="B64" s="4">
        <v>100</v>
      </c>
      <c r="C64" s="4">
        <v>7</v>
      </c>
      <c r="D64" s="4">
        <v>6.25</v>
      </c>
      <c r="E64" s="4">
        <v>3.35</v>
      </c>
      <c r="F64" s="4">
        <v>6.25</v>
      </c>
      <c r="G64" s="4">
        <v>3.35</v>
      </c>
      <c r="H64" s="12">
        <v>1.1969109850497893E-2</v>
      </c>
      <c r="I64" s="22">
        <v>0.62407848000248467</v>
      </c>
      <c r="J64" s="4">
        <v>0.27937626355476747</v>
      </c>
      <c r="K64" s="4">
        <v>0.90345474355725219</v>
      </c>
      <c r="L64" s="4">
        <v>2.2338278566036571</v>
      </c>
      <c r="M64" s="30">
        <v>0.67787834896821608</v>
      </c>
      <c r="N64" s="30">
        <v>0.29299839037689057</v>
      </c>
    </row>
    <row r="65" spans="1:14" x14ac:dyDescent="0.2">
      <c r="B65" s="4">
        <v>100</v>
      </c>
      <c r="C65" s="4">
        <v>7</v>
      </c>
      <c r="D65" s="4">
        <v>7.25</v>
      </c>
      <c r="E65" s="4">
        <v>3.85</v>
      </c>
      <c r="F65" s="4">
        <v>7.25</v>
      </c>
      <c r="G65" s="4">
        <v>3.85</v>
      </c>
      <c r="H65" s="12">
        <v>1.1969109850497893E-2</v>
      </c>
      <c r="I65" s="22">
        <v>0.73167821793394749</v>
      </c>
      <c r="J65" s="4">
        <v>0.30662051719901373</v>
      </c>
      <c r="K65" s="4">
        <v>1.0382987351329613</v>
      </c>
      <c r="L65" s="4">
        <v>2.3862663353967526</v>
      </c>
    </row>
    <row r="66" spans="1:14" x14ac:dyDescent="0.2">
      <c r="A66" s="4">
        <v>500886</v>
      </c>
      <c r="B66" s="4">
        <v>100</v>
      </c>
      <c r="C66" s="4">
        <v>6</v>
      </c>
      <c r="D66" s="4">
        <v>4.4000000000000004</v>
      </c>
      <c r="E66" s="4">
        <v>2.0499999999999998</v>
      </c>
      <c r="F66" s="4">
        <v>4.4000000000000004</v>
      </c>
      <c r="G66" s="4">
        <v>2.0499999999999998</v>
      </c>
      <c r="H66" s="12">
        <v>4.958061418569628E-2</v>
      </c>
      <c r="I66" s="22">
        <v>2.0948798573694982</v>
      </c>
      <c r="J66" s="4">
        <v>0.19527846023632367</v>
      </c>
      <c r="K66" s="4">
        <v>2.290158317605822</v>
      </c>
      <c r="L66" s="4">
        <v>10.727654523874776</v>
      </c>
      <c r="M66" s="30">
        <v>2.1171658132989606</v>
      </c>
      <c r="N66" s="30">
        <v>0.22885002424846676</v>
      </c>
    </row>
    <row r="67" spans="1:14" x14ac:dyDescent="0.2">
      <c r="B67" s="4">
        <v>100</v>
      </c>
      <c r="C67" s="4">
        <v>6</v>
      </c>
      <c r="D67" s="4">
        <v>4.55</v>
      </c>
      <c r="E67" s="4">
        <v>2.15</v>
      </c>
      <c r="F67" s="4">
        <v>4.55</v>
      </c>
      <c r="G67" s="4">
        <v>2.15</v>
      </c>
      <c r="H67" s="12">
        <v>4.958061418569628E-2</v>
      </c>
      <c r="I67" s="22">
        <v>2.1394517692284234</v>
      </c>
      <c r="J67" s="4">
        <v>0.26242158826060985</v>
      </c>
      <c r="K67" s="4">
        <v>2.4018733574890332</v>
      </c>
      <c r="L67" s="4">
        <v>8.1527277668319815</v>
      </c>
    </row>
    <row r="68" spans="1:14" x14ac:dyDescent="0.2">
      <c r="A68" s="4">
        <v>500887</v>
      </c>
      <c r="B68" s="4">
        <v>100</v>
      </c>
      <c r="C68" s="4">
        <v>6</v>
      </c>
      <c r="D68" s="4">
        <v>5.4</v>
      </c>
      <c r="E68" s="4">
        <v>2.5</v>
      </c>
      <c r="F68" s="4">
        <v>5.4</v>
      </c>
      <c r="G68" s="4">
        <v>2.5</v>
      </c>
      <c r="H68" s="12">
        <v>4.958061418569628E-2</v>
      </c>
      <c r="I68" s="22">
        <v>2.5851708878176787</v>
      </c>
      <c r="J68" s="4">
        <v>0.20770510926259206</v>
      </c>
      <c r="K68" s="4">
        <v>2.7928759970802708</v>
      </c>
      <c r="L68" s="4">
        <v>12.446351931330517</v>
      </c>
      <c r="M68" s="30">
        <v>2.5183130200292903</v>
      </c>
      <c r="N68" s="30">
        <v>0.27456297705098054</v>
      </c>
    </row>
    <row r="69" spans="1:14" x14ac:dyDescent="0.2">
      <c r="B69" s="4">
        <v>100</v>
      </c>
      <c r="C69" s="4">
        <v>6</v>
      </c>
      <c r="D69" s="4">
        <v>5.25</v>
      </c>
      <c r="E69" s="4">
        <v>2.5</v>
      </c>
      <c r="F69" s="4">
        <v>5.25</v>
      </c>
      <c r="G69" s="4">
        <v>2.5</v>
      </c>
      <c r="H69" s="12">
        <v>4.958061418569628E-2</v>
      </c>
      <c r="I69" s="22">
        <v>2.4514551522409018</v>
      </c>
      <c r="J69" s="4">
        <v>0.34142084483936908</v>
      </c>
      <c r="K69" s="4">
        <v>2.7928759970802708</v>
      </c>
      <c r="L69" s="4">
        <v>7.1801566579634502</v>
      </c>
    </row>
    <row r="70" spans="1:14" x14ac:dyDescent="0.2">
      <c r="A70" s="4">
        <v>500888</v>
      </c>
      <c r="B70" s="4">
        <v>100</v>
      </c>
      <c r="C70" s="4">
        <v>6</v>
      </c>
      <c r="D70" s="4">
        <v>3.2</v>
      </c>
      <c r="E70" s="4">
        <v>1.55</v>
      </c>
      <c r="F70" s="4">
        <v>3.2</v>
      </c>
      <c r="G70" s="4">
        <v>1.55</v>
      </c>
      <c r="H70" s="12">
        <v>4.958061418569628E-2</v>
      </c>
      <c r="I70" s="22">
        <v>1.4708730913445414</v>
      </c>
      <c r="J70" s="4">
        <v>0.26071002684522709</v>
      </c>
      <c r="K70" s="4">
        <v>1.7315831181897685</v>
      </c>
      <c r="L70" s="4">
        <v>5.6417971688436008</v>
      </c>
      <c r="M70" s="30">
        <v>1.6268747828507806</v>
      </c>
      <c r="N70" s="30">
        <v>0.18849461525139577</v>
      </c>
    </row>
    <row r="71" spans="1:14" x14ac:dyDescent="0.2">
      <c r="B71" s="4">
        <v>100</v>
      </c>
      <c r="C71" s="4">
        <v>6</v>
      </c>
      <c r="D71" s="4">
        <v>3.7</v>
      </c>
      <c r="E71" s="4">
        <v>1.7</v>
      </c>
      <c r="F71" s="4">
        <v>3.7</v>
      </c>
      <c r="G71" s="4">
        <v>1.7</v>
      </c>
      <c r="H71" s="12">
        <v>4.958061418569628E-2</v>
      </c>
      <c r="I71" s="22">
        <v>1.7828764743570196</v>
      </c>
      <c r="J71" s="4">
        <v>0.11627920365756442</v>
      </c>
      <c r="K71" s="4">
        <v>1.899155678014584</v>
      </c>
      <c r="L71" s="4">
        <v>15.332720024532405</v>
      </c>
    </row>
    <row r="99" spans="15:15" x14ac:dyDescent="0.2">
      <c r="O99" s="12"/>
    </row>
    <row r="131" spans="9:18" x14ac:dyDescent="0.2">
      <c r="I131" s="2"/>
      <c r="L131" s="10"/>
      <c r="P131" s="17"/>
      <c r="Q131" s="21"/>
    </row>
    <row r="132" spans="9:18" x14ac:dyDescent="0.2">
      <c r="I132" s="2"/>
      <c r="L132" s="10"/>
      <c r="P132" s="17"/>
      <c r="Q132" s="21"/>
    </row>
    <row r="133" spans="9:18" x14ac:dyDescent="0.2">
      <c r="I133" s="2"/>
      <c r="L133" s="10"/>
      <c r="P133" s="17"/>
      <c r="Q133" s="21"/>
      <c r="R133"/>
    </row>
    <row r="134" spans="9:18" x14ac:dyDescent="0.2">
      <c r="I134" s="2"/>
      <c r="L134" s="10"/>
      <c r="P134" s="17"/>
      <c r="Q134" s="21"/>
      <c r="R134"/>
    </row>
    <row r="135" spans="9:18" x14ac:dyDescent="0.2">
      <c r="I135" s="2"/>
      <c r="L135" s="10"/>
      <c r="P135" s="17"/>
      <c r="Q135" s="21"/>
      <c r="R135"/>
    </row>
    <row r="136" spans="9:18" x14ac:dyDescent="0.2">
      <c r="I136" s="2"/>
      <c r="L136" s="10"/>
      <c r="P136" s="17"/>
      <c r="Q136" s="21"/>
      <c r="R136"/>
    </row>
    <row r="137" spans="9:18" x14ac:dyDescent="0.2">
      <c r="I137" s="2"/>
      <c r="L137" s="10"/>
      <c r="P137" s="17"/>
      <c r="Q137" s="21"/>
    </row>
    <row r="138" spans="9:18" x14ac:dyDescent="0.2">
      <c r="I138" s="2"/>
      <c r="L138" s="10"/>
      <c r="P138" s="17"/>
      <c r="Q138" s="21"/>
    </row>
    <row r="139" spans="9:18" x14ac:dyDescent="0.2">
      <c r="I139" s="2"/>
      <c r="L139" s="10"/>
      <c r="P139" s="17"/>
      <c r="Q139" s="21"/>
    </row>
    <row r="140" spans="9:18" x14ac:dyDescent="0.2">
      <c r="I140" s="2"/>
      <c r="L140" s="10"/>
      <c r="P140" s="17"/>
      <c r="Q140" s="21"/>
    </row>
    <row r="141" spans="9:18" x14ac:dyDescent="0.2">
      <c r="I141" s="2"/>
      <c r="L141" s="10"/>
      <c r="P141" s="17"/>
      <c r="Q141" s="21"/>
    </row>
    <row r="142" spans="9:18" x14ac:dyDescent="0.2">
      <c r="I142" s="2"/>
      <c r="L142" s="10"/>
      <c r="P142" s="17"/>
      <c r="Q142" s="21"/>
    </row>
    <row r="143" spans="9:18" x14ac:dyDescent="0.2">
      <c r="I143" s="2"/>
      <c r="L143" s="10"/>
      <c r="P143" s="17"/>
      <c r="Q143" s="21"/>
    </row>
    <row r="144" spans="9:18" x14ac:dyDescent="0.2">
      <c r="I144" s="2"/>
      <c r="L144" s="10"/>
      <c r="P144" s="17"/>
      <c r="Q144" s="21"/>
    </row>
    <row r="145" spans="9:18" x14ac:dyDescent="0.2">
      <c r="I145" s="2"/>
      <c r="L145" s="10"/>
      <c r="P145" s="17"/>
      <c r="Q145" s="21"/>
    </row>
    <row r="146" spans="9:18" x14ac:dyDescent="0.2">
      <c r="I146" s="2"/>
      <c r="L146" s="10"/>
      <c r="P146" s="17"/>
      <c r="Q146" s="21"/>
    </row>
    <row r="147" spans="9:18" x14ac:dyDescent="0.2">
      <c r="I147" s="2"/>
      <c r="L147" s="10"/>
      <c r="P147" s="17"/>
      <c r="Q147" s="21"/>
      <c r="R147"/>
    </row>
    <row r="148" spans="9:18" x14ac:dyDescent="0.2">
      <c r="I148" s="2"/>
      <c r="L148" s="10"/>
      <c r="P148" s="17"/>
      <c r="Q148" s="21"/>
      <c r="R148"/>
    </row>
    <row r="149" spans="9:18" x14ac:dyDescent="0.2">
      <c r="I149" s="2"/>
      <c r="L149" s="10"/>
      <c r="P149" s="17"/>
      <c r="Q149" s="21"/>
      <c r="R149"/>
    </row>
    <row r="150" spans="9:18" x14ac:dyDescent="0.2">
      <c r="I150" s="2"/>
      <c r="L150" s="10"/>
      <c r="P150" s="17"/>
      <c r="Q150" s="21"/>
      <c r="R150"/>
    </row>
    <row r="151" spans="9:18" x14ac:dyDescent="0.2">
      <c r="I151" s="2"/>
      <c r="L151" s="10"/>
      <c r="P151" s="17"/>
      <c r="Q151" s="21"/>
      <c r="R151"/>
    </row>
    <row r="152" spans="9:18" x14ac:dyDescent="0.2">
      <c r="I152" s="2"/>
      <c r="L152" s="10"/>
      <c r="P152" s="17"/>
      <c r="Q152" s="21"/>
      <c r="R152"/>
    </row>
    <row r="153" spans="9:18" x14ac:dyDescent="0.2">
      <c r="I153" s="2"/>
      <c r="L153" s="10"/>
      <c r="P153" s="17"/>
      <c r="Q153" s="21"/>
      <c r="R153"/>
    </row>
    <row r="154" spans="9:18" x14ac:dyDescent="0.2">
      <c r="I154" s="2"/>
      <c r="L154" s="10"/>
      <c r="O154" s="12"/>
      <c r="P154" s="17"/>
      <c r="Q154" s="21"/>
      <c r="R154"/>
    </row>
    <row r="155" spans="9:18" x14ac:dyDescent="0.2">
      <c r="I155" s="2"/>
      <c r="L155" s="10"/>
      <c r="P155" s="17"/>
      <c r="Q155" s="19"/>
      <c r="R155"/>
    </row>
    <row r="156" spans="9:18" x14ac:dyDescent="0.2">
      <c r="I156" s="2"/>
      <c r="L156" s="10"/>
      <c r="P156" s="17"/>
      <c r="Q156" s="19"/>
      <c r="R156"/>
    </row>
    <row r="157" spans="9:18" x14ac:dyDescent="0.2">
      <c r="I157" s="2"/>
      <c r="L157" s="10"/>
      <c r="P157" s="17"/>
      <c r="Q157" s="19"/>
      <c r="R157"/>
    </row>
    <row r="158" spans="9:18" x14ac:dyDescent="0.2">
      <c r="I158" s="2"/>
      <c r="L158" s="10"/>
      <c r="P158" s="17"/>
      <c r="Q158" s="19"/>
      <c r="R158"/>
    </row>
    <row r="159" spans="9:18" x14ac:dyDescent="0.2">
      <c r="I159" s="2"/>
      <c r="L159" s="10"/>
      <c r="P159" s="17"/>
      <c r="Q159" s="19"/>
      <c r="R159"/>
    </row>
    <row r="160" spans="9:18" x14ac:dyDescent="0.2">
      <c r="I160" s="2"/>
      <c r="L160" s="10"/>
      <c r="P160" s="17"/>
      <c r="Q160" s="19"/>
      <c r="R160"/>
    </row>
    <row r="161" spans="9:18" x14ac:dyDescent="0.2">
      <c r="I161" s="2"/>
      <c r="L161" s="10"/>
      <c r="P161" s="17"/>
      <c r="Q161" s="19"/>
      <c r="R161"/>
    </row>
    <row r="162" spans="9:18" x14ac:dyDescent="0.2">
      <c r="I162" s="2"/>
      <c r="L162" s="10"/>
      <c r="P162" s="17"/>
      <c r="Q162" s="19"/>
      <c r="R162"/>
    </row>
    <row r="163" spans="9:18" x14ac:dyDescent="0.2">
      <c r="I163" s="2"/>
      <c r="L163" s="10"/>
      <c r="O163" s="12"/>
      <c r="P163" s="17"/>
      <c r="Q163" s="19"/>
      <c r="R163"/>
    </row>
    <row r="164" spans="9:18" x14ac:dyDescent="0.2">
      <c r="I164" s="2"/>
      <c r="L164" s="10"/>
      <c r="P164" s="17"/>
      <c r="Q164" s="19"/>
      <c r="R164"/>
    </row>
    <row r="165" spans="9:18" x14ac:dyDescent="0.2">
      <c r="I165" s="2"/>
      <c r="L165" s="10"/>
      <c r="P165" s="17"/>
      <c r="Q165" s="19"/>
      <c r="R165"/>
    </row>
    <row r="166" spans="9:18" x14ac:dyDescent="0.2">
      <c r="I166" s="2"/>
      <c r="L166" s="10"/>
      <c r="P166" s="17"/>
      <c r="Q166" s="19"/>
      <c r="R166"/>
    </row>
    <row r="167" spans="9:18" x14ac:dyDescent="0.2">
      <c r="I167" s="2"/>
      <c r="L167" s="10"/>
      <c r="P167" s="17"/>
      <c r="Q167" s="19"/>
      <c r="R167"/>
    </row>
    <row r="168" spans="9:18" x14ac:dyDescent="0.2">
      <c r="I168" s="2"/>
      <c r="L168" s="10"/>
      <c r="P168" s="17"/>
      <c r="Q168" s="19"/>
      <c r="R168"/>
    </row>
    <row r="169" spans="9:18" x14ac:dyDescent="0.2">
      <c r="I169" s="2"/>
      <c r="L169" s="10"/>
      <c r="P169" s="17"/>
      <c r="Q169" s="19"/>
      <c r="R169"/>
    </row>
    <row r="170" spans="9:18" x14ac:dyDescent="0.2">
      <c r="I170" s="2"/>
      <c r="L170" s="10"/>
      <c r="P170" s="17"/>
      <c r="Q170" s="19"/>
      <c r="R170"/>
    </row>
    <row r="171" spans="9:18" x14ac:dyDescent="0.2">
      <c r="I171" s="2"/>
      <c r="L171" s="10"/>
      <c r="O171" s="12"/>
      <c r="P171" s="17"/>
      <c r="Q171" s="19"/>
      <c r="R171"/>
    </row>
    <row r="172" spans="9:18" x14ac:dyDescent="0.2">
      <c r="I172" s="2"/>
      <c r="L172" s="10"/>
      <c r="P172" s="17"/>
      <c r="Q172" s="19"/>
      <c r="R172"/>
    </row>
    <row r="173" spans="9:18" x14ac:dyDescent="0.2">
      <c r="I173" s="2"/>
      <c r="L173" s="10"/>
      <c r="P173" s="17"/>
      <c r="Q173" s="19"/>
      <c r="R173"/>
    </row>
    <row r="174" spans="9:18" x14ac:dyDescent="0.2">
      <c r="I174" s="2"/>
      <c r="L174" s="10"/>
      <c r="P174" s="17"/>
      <c r="Q174" s="19"/>
      <c r="R174"/>
    </row>
    <row r="175" spans="9:18" x14ac:dyDescent="0.2">
      <c r="I175" s="2"/>
      <c r="L175" s="10"/>
      <c r="P175" s="17"/>
      <c r="Q175" s="19"/>
      <c r="R175"/>
    </row>
    <row r="176" spans="9:18" x14ac:dyDescent="0.2">
      <c r="I176" s="2"/>
      <c r="L176" s="10"/>
      <c r="P176" s="17"/>
      <c r="Q176" s="19"/>
      <c r="R176"/>
    </row>
    <row r="177" spans="9:18" x14ac:dyDescent="0.2">
      <c r="I177" s="2"/>
      <c r="L177" s="10"/>
      <c r="P177" s="17"/>
      <c r="Q177" s="19"/>
      <c r="R177"/>
    </row>
    <row r="178" spans="9:18" x14ac:dyDescent="0.2">
      <c r="I178" s="2"/>
      <c r="L178" s="10"/>
      <c r="P178" s="17"/>
      <c r="Q178" s="19"/>
      <c r="R178"/>
    </row>
    <row r="179" spans="9:18" x14ac:dyDescent="0.2">
      <c r="I179" s="2"/>
      <c r="L179" s="10"/>
      <c r="O179" s="12"/>
      <c r="P179" s="17"/>
      <c r="Q179" s="19"/>
      <c r="R179"/>
    </row>
    <row r="180" spans="9:18" x14ac:dyDescent="0.2">
      <c r="I180" s="2"/>
      <c r="L180" s="10"/>
      <c r="P180" s="17"/>
      <c r="Q180" s="21"/>
      <c r="R180"/>
    </row>
    <row r="181" spans="9:18" x14ac:dyDescent="0.2">
      <c r="I181" s="2"/>
      <c r="L181" s="10"/>
      <c r="P181" s="17"/>
      <c r="Q181" s="21"/>
      <c r="R181"/>
    </row>
    <row r="182" spans="9:18" x14ac:dyDescent="0.2">
      <c r="I182" s="2"/>
      <c r="L182" s="10"/>
      <c r="P182" s="17"/>
      <c r="Q182" s="21"/>
      <c r="R182"/>
    </row>
    <row r="183" spans="9:18" x14ac:dyDescent="0.2">
      <c r="I183" s="2"/>
      <c r="L183" s="10"/>
      <c r="P183" s="17"/>
      <c r="Q183" s="21"/>
      <c r="R183"/>
    </row>
    <row r="184" spans="9:18" x14ac:dyDescent="0.2">
      <c r="I184" s="2"/>
      <c r="L184" s="10"/>
      <c r="P184" s="17"/>
      <c r="Q184" s="21"/>
      <c r="R184"/>
    </row>
    <row r="185" spans="9:18" x14ac:dyDescent="0.2">
      <c r="I185" s="2"/>
      <c r="L185" s="10"/>
      <c r="P185" s="17"/>
      <c r="Q185" s="21"/>
      <c r="R185"/>
    </row>
    <row r="186" spans="9:18" x14ac:dyDescent="0.2">
      <c r="I186" s="2"/>
      <c r="L186" s="10"/>
      <c r="P186" s="17"/>
      <c r="Q186" s="21"/>
      <c r="R186"/>
    </row>
    <row r="187" spans="9:18" x14ac:dyDescent="0.2">
      <c r="I187" s="2"/>
      <c r="L187" s="10"/>
      <c r="O187" s="12"/>
      <c r="P187" s="17"/>
      <c r="Q187" s="21"/>
      <c r="R187"/>
    </row>
    <row r="188" spans="9:18" x14ac:dyDescent="0.2">
      <c r="I188" s="2"/>
      <c r="L188" s="10"/>
      <c r="P188" s="17"/>
      <c r="Q188" s="21"/>
      <c r="R188"/>
    </row>
    <row r="189" spans="9:18" x14ac:dyDescent="0.2">
      <c r="I189" s="2"/>
      <c r="L189" s="10"/>
      <c r="P189" s="17"/>
      <c r="Q189" s="21"/>
      <c r="R189"/>
    </row>
    <row r="190" spans="9:18" x14ac:dyDescent="0.2">
      <c r="I190" s="2"/>
      <c r="L190" s="10"/>
      <c r="P190" s="17"/>
      <c r="Q190" s="21"/>
      <c r="R190"/>
    </row>
    <row r="191" spans="9:18" x14ac:dyDescent="0.2">
      <c r="I191" s="2"/>
      <c r="L191" s="10"/>
      <c r="P191" s="17"/>
      <c r="Q191" s="21"/>
      <c r="R191"/>
    </row>
    <row r="192" spans="9:18" x14ac:dyDescent="0.2">
      <c r="I192" s="2"/>
      <c r="L192" s="10"/>
      <c r="P192" s="17"/>
      <c r="Q192" s="21"/>
      <c r="R192"/>
    </row>
    <row r="193" spans="9:18" x14ac:dyDescent="0.2">
      <c r="I193" s="2"/>
      <c r="L193" s="10"/>
      <c r="P193" s="17"/>
      <c r="Q193" s="21"/>
      <c r="R193"/>
    </row>
    <row r="194" spans="9:18" x14ac:dyDescent="0.2">
      <c r="I194" s="2"/>
      <c r="L194" s="10"/>
      <c r="P194" s="17"/>
      <c r="Q194" s="21"/>
      <c r="R194"/>
    </row>
    <row r="195" spans="9:18" x14ac:dyDescent="0.2">
      <c r="I195" s="2"/>
      <c r="L195" s="10"/>
      <c r="O195" s="12"/>
      <c r="P195" s="17"/>
      <c r="Q195" s="21"/>
      <c r="R195"/>
    </row>
    <row r="196" spans="9:18" x14ac:dyDescent="0.2">
      <c r="I196" s="2"/>
      <c r="L196" s="10"/>
      <c r="P196" s="17"/>
      <c r="Q196" s="21"/>
      <c r="R196"/>
    </row>
    <row r="197" spans="9:18" x14ac:dyDescent="0.2">
      <c r="I197" s="2"/>
      <c r="L197" s="10"/>
      <c r="P197" s="17"/>
      <c r="Q197" s="21"/>
      <c r="R197"/>
    </row>
    <row r="198" spans="9:18" x14ac:dyDescent="0.2">
      <c r="I198" s="2"/>
      <c r="L198" s="10"/>
      <c r="P198" s="17"/>
      <c r="Q198" s="21"/>
      <c r="R198"/>
    </row>
    <row r="199" spans="9:18" x14ac:dyDescent="0.2">
      <c r="I199" s="2"/>
      <c r="L199" s="10"/>
      <c r="P199" s="17"/>
      <c r="Q199" s="21"/>
      <c r="R199"/>
    </row>
    <row r="200" spans="9:18" x14ac:dyDescent="0.2">
      <c r="I200" s="2"/>
      <c r="L200" s="10"/>
      <c r="P200" s="17"/>
      <c r="Q200" s="21"/>
      <c r="R200"/>
    </row>
    <row r="201" spans="9:18" x14ac:dyDescent="0.2">
      <c r="I201" s="2"/>
      <c r="L201" s="10"/>
      <c r="P201" s="17"/>
      <c r="Q201" s="21"/>
      <c r="R201"/>
    </row>
    <row r="202" spans="9:18" x14ac:dyDescent="0.2">
      <c r="I202" s="2"/>
      <c r="L202" s="10"/>
      <c r="P202" s="17"/>
      <c r="Q202" s="21"/>
      <c r="R202"/>
    </row>
    <row r="203" spans="9:18" x14ac:dyDescent="0.2">
      <c r="I203" s="2"/>
      <c r="L203" s="10"/>
      <c r="O203" s="12"/>
      <c r="P203" s="17"/>
      <c r="Q203" s="21"/>
      <c r="R203"/>
    </row>
    <row r="204" spans="9:18" x14ac:dyDescent="0.2">
      <c r="I204" s="2"/>
      <c r="L204" s="10"/>
      <c r="P204" s="17"/>
      <c r="Q204" s="21"/>
      <c r="R204"/>
    </row>
    <row r="205" spans="9:18" x14ac:dyDescent="0.2">
      <c r="I205" s="2"/>
      <c r="L205" s="10"/>
      <c r="P205" s="17"/>
      <c r="Q205" s="21"/>
      <c r="R205"/>
    </row>
    <row r="206" spans="9:18" x14ac:dyDescent="0.2">
      <c r="I206" s="2"/>
      <c r="L206" s="10"/>
      <c r="P206" s="17"/>
      <c r="Q206" s="21"/>
      <c r="R206"/>
    </row>
    <row r="207" spans="9:18" x14ac:dyDescent="0.2">
      <c r="I207" s="2"/>
      <c r="L207" s="10"/>
      <c r="P207" s="17"/>
      <c r="Q207" s="21"/>
      <c r="R207"/>
    </row>
    <row r="208" spans="9:18" x14ac:dyDescent="0.2">
      <c r="I208" s="2"/>
      <c r="L208" s="10"/>
      <c r="P208" s="17"/>
      <c r="Q208" s="21"/>
      <c r="R208"/>
    </row>
    <row r="209" spans="9:18" x14ac:dyDescent="0.2">
      <c r="I209" s="2"/>
      <c r="L209" s="10"/>
      <c r="P209" s="17"/>
      <c r="Q209" s="21"/>
      <c r="R209"/>
    </row>
    <row r="210" spans="9:18" x14ac:dyDescent="0.2">
      <c r="I210" s="2"/>
      <c r="L210" s="10"/>
      <c r="P210" s="17"/>
      <c r="Q210" s="21"/>
      <c r="R210"/>
    </row>
    <row r="211" spans="9:18" x14ac:dyDescent="0.2">
      <c r="I211" s="2"/>
      <c r="L211" s="10"/>
      <c r="P211" s="17"/>
      <c r="Q211" s="21"/>
      <c r="R211"/>
    </row>
    <row r="212" spans="9:18" x14ac:dyDescent="0.2">
      <c r="I212" s="2"/>
      <c r="L212" s="10"/>
      <c r="P212" s="17"/>
      <c r="Q212" s="21"/>
      <c r="R212"/>
    </row>
    <row r="213" spans="9:18" x14ac:dyDescent="0.2">
      <c r="I213" s="2"/>
      <c r="L213" s="10"/>
      <c r="P213" s="17"/>
      <c r="Q213" s="21"/>
      <c r="R213"/>
    </row>
    <row r="214" spans="9:18" x14ac:dyDescent="0.2">
      <c r="I214" s="2"/>
      <c r="L214" s="10"/>
      <c r="P214" s="17"/>
      <c r="Q214" s="21"/>
      <c r="R214"/>
    </row>
    <row r="215" spans="9:18" x14ac:dyDescent="0.2">
      <c r="I215" s="2"/>
      <c r="L215" s="10"/>
      <c r="P215" s="17"/>
      <c r="Q215" s="21"/>
      <c r="R215"/>
    </row>
    <row r="216" spans="9:18" x14ac:dyDescent="0.2">
      <c r="I216" s="2"/>
      <c r="L216" s="10"/>
      <c r="P216" s="17"/>
      <c r="Q216" s="21"/>
      <c r="R216"/>
    </row>
    <row r="217" spans="9:18" x14ac:dyDescent="0.2">
      <c r="I217" s="2"/>
      <c r="L217" s="10"/>
      <c r="P217" s="17"/>
      <c r="Q217" s="21"/>
      <c r="R217"/>
    </row>
    <row r="218" spans="9:18" x14ac:dyDescent="0.2">
      <c r="I218" s="2"/>
      <c r="L218" s="10"/>
      <c r="P218" s="17"/>
      <c r="Q218" s="21"/>
      <c r="R218"/>
    </row>
    <row r="219" spans="9:18" x14ac:dyDescent="0.2">
      <c r="I219" s="2"/>
      <c r="L219" s="10"/>
      <c r="P219" s="17"/>
      <c r="Q219" s="21"/>
      <c r="R219"/>
    </row>
    <row r="220" spans="9:18" x14ac:dyDescent="0.2">
      <c r="I220" s="2"/>
      <c r="L220" s="10"/>
      <c r="P220" s="17"/>
      <c r="Q220" s="21"/>
      <c r="R220"/>
    </row>
    <row r="221" spans="9:18" x14ac:dyDescent="0.2">
      <c r="I221" s="2"/>
      <c r="L221" s="10"/>
      <c r="P221" s="17"/>
      <c r="Q221" s="21"/>
      <c r="R221"/>
    </row>
    <row r="222" spans="9:18" x14ac:dyDescent="0.2">
      <c r="I222" s="2"/>
      <c r="L222" s="10"/>
      <c r="P222" s="17"/>
      <c r="Q222" s="21"/>
      <c r="R222"/>
    </row>
    <row r="223" spans="9:18" x14ac:dyDescent="0.2">
      <c r="I223" s="2"/>
      <c r="L223" s="10"/>
      <c r="P223" s="17"/>
      <c r="Q223" s="21"/>
      <c r="R223"/>
    </row>
    <row r="224" spans="9:18" x14ac:dyDescent="0.2">
      <c r="I224" s="2"/>
      <c r="L224" s="10"/>
      <c r="P224" s="17"/>
      <c r="Q224" s="21"/>
      <c r="R224"/>
    </row>
    <row r="225" spans="9:18" x14ac:dyDescent="0.2">
      <c r="I225" s="2"/>
      <c r="L225" s="10"/>
      <c r="P225" s="17"/>
      <c r="Q225" s="21"/>
      <c r="R225"/>
    </row>
    <row r="226" spans="9:18" x14ac:dyDescent="0.2">
      <c r="I226" s="2"/>
      <c r="L226" s="10"/>
      <c r="P226" s="17"/>
      <c r="Q226" s="21"/>
      <c r="R226"/>
    </row>
    <row r="227" spans="9:18" x14ac:dyDescent="0.2">
      <c r="I227" s="2"/>
      <c r="L227" s="10"/>
      <c r="P227" s="17"/>
      <c r="Q227" s="21"/>
      <c r="R227"/>
    </row>
    <row r="228" spans="9:18" x14ac:dyDescent="0.2">
      <c r="I228" s="2"/>
      <c r="L228" s="10"/>
      <c r="P228" s="17"/>
      <c r="Q228" s="21"/>
      <c r="R228"/>
    </row>
    <row r="229" spans="9:18" x14ac:dyDescent="0.2">
      <c r="I229" s="2"/>
      <c r="L229" s="10"/>
      <c r="P229" s="17"/>
      <c r="Q229" s="21"/>
      <c r="R229"/>
    </row>
    <row r="230" spans="9:18" x14ac:dyDescent="0.2">
      <c r="I230" s="2"/>
      <c r="L230" s="10"/>
      <c r="P230" s="17"/>
      <c r="Q230" s="21"/>
      <c r="R230"/>
    </row>
    <row r="231" spans="9:18" x14ac:dyDescent="0.2">
      <c r="I231" s="2"/>
      <c r="L231" s="10"/>
      <c r="P231" s="17"/>
      <c r="Q231" s="21"/>
      <c r="R231"/>
    </row>
    <row r="232" spans="9:18" x14ac:dyDescent="0.2">
      <c r="I232" s="2"/>
      <c r="L232" s="10"/>
      <c r="P232" s="17"/>
      <c r="Q232" s="21"/>
      <c r="R232"/>
    </row>
    <row r="233" spans="9:18" x14ac:dyDescent="0.2">
      <c r="I233" s="2"/>
      <c r="L233" s="10"/>
      <c r="P233" s="17"/>
      <c r="Q233" s="21"/>
      <c r="R233"/>
    </row>
    <row r="234" spans="9:18" x14ac:dyDescent="0.2">
      <c r="I234" s="2"/>
      <c r="L234" s="10"/>
      <c r="P234" s="17"/>
      <c r="Q234" s="21"/>
      <c r="R234"/>
    </row>
    <row r="235" spans="9:18" x14ac:dyDescent="0.2">
      <c r="I235" s="2"/>
      <c r="L235" s="10"/>
      <c r="P235" s="17"/>
      <c r="Q235" s="21"/>
      <c r="R235"/>
    </row>
    <row r="236" spans="9:18" x14ac:dyDescent="0.2">
      <c r="I236" s="2"/>
      <c r="L236" s="10"/>
      <c r="P236" s="17"/>
      <c r="Q236" s="21"/>
      <c r="R236"/>
    </row>
    <row r="237" spans="9:18" x14ac:dyDescent="0.2">
      <c r="I237" s="2"/>
      <c r="L237" s="10"/>
      <c r="P237" s="17"/>
      <c r="Q237" s="21"/>
      <c r="R237"/>
    </row>
    <row r="238" spans="9:18" x14ac:dyDescent="0.2">
      <c r="I238" s="2"/>
      <c r="L238" s="10"/>
      <c r="P238" s="17"/>
      <c r="Q238" s="21"/>
      <c r="R238"/>
    </row>
    <row r="239" spans="9:18" x14ac:dyDescent="0.2">
      <c r="I239" s="2"/>
      <c r="L239" s="10"/>
      <c r="P239" s="17"/>
      <c r="Q239" s="21"/>
      <c r="R239"/>
    </row>
    <row r="240" spans="9:18" x14ac:dyDescent="0.2">
      <c r="I240" s="2"/>
      <c r="L240" s="10"/>
      <c r="P240" s="17"/>
      <c r="Q240" s="21"/>
      <c r="R240"/>
    </row>
    <row r="241" spans="9:18" x14ac:dyDescent="0.2">
      <c r="I241" s="2"/>
      <c r="L241" s="10"/>
      <c r="P241" s="17"/>
      <c r="Q241" s="21"/>
      <c r="R241"/>
    </row>
    <row r="242" spans="9:18" x14ac:dyDescent="0.2">
      <c r="I242" s="2"/>
      <c r="L242" s="10"/>
      <c r="O242" s="25"/>
      <c r="P242" s="17"/>
      <c r="Q242" s="21"/>
      <c r="R242"/>
    </row>
    <row r="243" spans="9:18" x14ac:dyDescent="0.2">
      <c r="I243" s="2"/>
      <c r="L243" s="10"/>
      <c r="P243" s="17"/>
      <c r="Q243" s="21"/>
      <c r="R243"/>
    </row>
    <row r="244" spans="9:18" x14ac:dyDescent="0.2">
      <c r="I244" s="2"/>
      <c r="L244" s="10"/>
      <c r="P244" s="17"/>
      <c r="Q244" s="21"/>
      <c r="R244"/>
    </row>
    <row r="245" spans="9:18" x14ac:dyDescent="0.2">
      <c r="I245" s="2"/>
      <c r="L245" s="10"/>
      <c r="P245" s="17"/>
      <c r="Q245" s="21"/>
      <c r="R245"/>
    </row>
    <row r="246" spans="9:18" x14ac:dyDescent="0.2">
      <c r="I246" s="2"/>
      <c r="L246" s="10"/>
      <c r="P246" s="17"/>
      <c r="Q246" s="21"/>
      <c r="R246"/>
    </row>
    <row r="247" spans="9:18" x14ac:dyDescent="0.2">
      <c r="I247" s="2"/>
      <c r="L247" s="10"/>
      <c r="P247" s="17"/>
      <c r="Q247" s="21"/>
      <c r="R247"/>
    </row>
    <row r="248" spans="9:18" x14ac:dyDescent="0.2">
      <c r="I248" s="2"/>
      <c r="L248" s="10"/>
      <c r="P248" s="17"/>
      <c r="Q248" s="21"/>
      <c r="R248"/>
    </row>
    <row r="249" spans="9:18" x14ac:dyDescent="0.2">
      <c r="I249" s="2"/>
      <c r="L249" s="10"/>
      <c r="P249" s="17"/>
      <c r="Q249" s="21"/>
      <c r="R249"/>
    </row>
    <row r="250" spans="9:18" x14ac:dyDescent="0.2">
      <c r="I250" s="2"/>
      <c r="L250" s="10"/>
      <c r="P250" s="17"/>
      <c r="Q250" s="21"/>
      <c r="R250"/>
    </row>
    <row r="251" spans="9:18" x14ac:dyDescent="0.2">
      <c r="I251" s="2"/>
      <c r="L251" s="10"/>
      <c r="P251" s="17"/>
      <c r="Q251" s="21"/>
      <c r="R251"/>
    </row>
    <row r="252" spans="9:18" x14ac:dyDescent="0.2">
      <c r="I252" s="2"/>
      <c r="L252" s="10"/>
      <c r="P252" s="17"/>
      <c r="Q252" s="21"/>
      <c r="R252"/>
    </row>
    <row r="253" spans="9:18" x14ac:dyDescent="0.2">
      <c r="I253" s="2"/>
      <c r="L253" s="10"/>
      <c r="P253" s="17"/>
      <c r="Q253" s="21"/>
      <c r="R253"/>
    </row>
    <row r="254" spans="9:18" x14ac:dyDescent="0.2">
      <c r="I254" s="2"/>
      <c r="L254" s="10"/>
      <c r="P254" s="17"/>
      <c r="Q254" s="21"/>
      <c r="R254"/>
    </row>
    <row r="255" spans="9:18" x14ac:dyDescent="0.2">
      <c r="I255" s="2"/>
      <c r="L255" s="10"/>
      <c r="P255" s="17"/>
      <c r="Q255" s="21"/>
      <c r="R255"/>
    </row>
    <row r="256" spans="9:18" x14ac:dyDescent="0.2">
      <c r="I256" s="2"/>
      <c r="L256" s="10"/>
      <c r="P256" s="17"/>
      <c r="Q256" s="21"/>
      <c r="R256"/>
    </row>
    <row r="257" spans="9:18" x14ac:dyDescent="0.2">
      <c r="I257" s="2"/>
      <c r="L257" s="10"/>
      <c r="P257" s="17"/>
      <c r="Q257" s="21"/>
      <c r="R257"/>
    </row>
    <row r="258" spans="9:18" x14ac:dyDescent="0.2">
      <c r="I258" s="2"/>
      <c r="L258" s="10"/>
      <c r="P258" s="17"/>
      <c r="Q258" s="21"/>
      <c r="R258"/>
    </row>
    <row r="259" spans="9:18" x14ac:dyDescent="0.2">
      <c r="I259" s="2"/>
      <c r="L259" s="10"/>
      <c r="O259" s="12"/>
      <c r="P259" s="17"/>
      <c r="Q259" s="21"/>
      <c r="R259"/>
    </row>
    <row r="260" spans="9:18" x14ac:dyDescent="0.2">
      <c r="I260" s="2"/>
      <c r="L260" s="10"/>
      <c r="P260" s="17"/>
      <c r="Q260" s="21"/>
      <c r="R260"/>
    </row>
    <row r="261" spans="9:18" x14ac:dyDescent="0.2">
      <c r="I261" s="2"/>
      <c r="L261" s="10"/>
      <c r="P261" s="17"/>
      <c r="Q261" s="21"/>
      <c r="R261"/>
    </row>
    <row r="262" spans="9:18" x14ac:dyDescent="0.2">
      <c r="I262" s="2"/>
      <c r="L262" s="10"/>
      <c r="P262" s="17"/>
      <c r="Q262" s="21"/>
      <c r="R262"/>
    </row>
    <row r="263" spans="9:18" x14ac:dyDescent="0.2">
      <c r="I263" s="2"/>
      <c r="L263" s="10"/>
      <c r="O263" s="26"/>
      <c r="P263" s="17"/>
      <c r="Q263" s="21"/>
      <c r="R263"/>
    </row>
    <row r="264" spans="9:18" x14ac:dyDescent="0.2">
      <c r="I264" s="2"/>
      <c r="L264" s="10"/>
      <c r="P264" s="17"/>
      <c r="Q264" s="21"/>
      <c r="R264"/>
    </row>
    <row r="265" spans="9:18" x14ac:dyDescent="0.2">
      <c r="I265" s="2"/>
      <c r="L265" s="10"/>
      <c r="P265" s="17"/>
      <c r="Q265" s="21"/>
      <c r="R265"/>
    </row>
    <row r="266" spans="9:18" x14ac:dyDescent="0.2">
      <c r="I266" s="2"/>
      <c r="L266" s="10"/>
      <c r="P266" s="17"/>
      <c r="Q266" s="21"/>
      <c r="R266"/>
    </row>
    <row r="267" spans="9:18" x14ac:dyDescent="0.2">
      <c r="I267" s="2"/>
      <c r="L267" s="10"/>
      <c r="O267" s="12"/>
      <c r="P267" s="17"/>
      <c r="Q267" s="21"/>
      <c r="R267"/>
    </row>
    <row r="268" spans="9:18" x14ac:dyDescent="0.2">
      <c r="I268" s="2"/>
      <c r="L268" s="10"/>
      <c r="P268" s="17"/>
      <c r="Q268" s="21"/>
      <c r="R268"/>
    </row>
    <row r="269" spans="9:18" x14ac:dyDescent="0.2">
      <c r="I269" s="2"/>
      <c r="L269" s="10"/>
      <c r="P269" s="17"/>
      <c r="Q269" s="21"/>
      <c r="R269"/>
    </row>
    <row r="270" spans="9:18" x14ac:dyDescent="0.2">
      <c r="I270" s="2"/>
      <c r="L270" s="10"/>
      <c r="P270" s="17"/>
      <c r="Q270" s="21"/>
      <c r="R270"/>
    </row>
    <row r="271" spans="9:18" x14ac:dyDescent="0.2">
      <c r="I271" s="2"/>
      <c r="L271" s="10"/>
      <c r="P271" s="17"/>
      <c r="Q271" s="21"/>
      <c r="R271"/>
    </row>
    <row r="272" spans="9:18" x14ac:dyDescent="0.2">
      <c r="I272" s="2"/>
      <c r="L272" s="10"/>
      <c r="P272" s="17"/>
      <c r="Q272" s="21"/>
      <c r="R272"/>
    </row>
    <row r="273" spans="9:18" x14ac:dyDescent="0.2">
      <c r="I273" s="2"/>
      <c r="L273" s="10"/>
      <c r="P273" s="17"/>
      <c r="Q273" s="21"/>
      <c r="R273"/>
    </row>
    <row r="274" spans="9:18" x14ac:dyDescent="0.2">
      <c r="I274" s="2"/>
      <c r="L274" s="10"/>
      <c r="P274" s="17"/>
      <c r="Q274" s="21"/>
      <c r="R274"/>
    </row>
    <row r="275" spans="9:18" x14ac:dyDescent="0.2">
      <c r="I275" s="2"/>
      <c r="L275" s="10"/>
      <c r="O275" s="12"/>
      <c r="P275" s="17"/>
      <c r="Q275" s="21"/>
      <c r="R275" s="11"/>
    </row>
    <row r="276" spans="9:18" x14ac:dyDescent="0.2">
      <c r="I276" s="2"/>
      <c r="L276" s="10"/>
      <c r="P276" s="17"/>
      <c r="Q276" s="21"/>
      <c r="R276"/>
    </row>
    <row r="277" spans="9:18" x14ac:dyDescent="0.2">
      <c r="I277" s="2"/>
      <c r="L277" s="10"/>
      <c r="P277" s="17"/>
      <c r="Q277" s="21"/>
      <c r="R277"/>
    </row>
    <row r="278" spans="9:18" x14ac:dyDescent="0.2">
      <c r="I278" s="2"/>
      <c r="L278" s="10"/>
      <c r="P278" s="17"/>
      <c r="Q278" s="21"/>
      <c r="R278"/>
    </row>
    <row r="279" spans="9:18" x14ac:dyDescent="0.2">
      <c r="I279" s="2"/>
      <c r="L279" s="10"/>
      <c r="P279" s="17"/>
      <c r="Q279" s="21"/>
      <c r="R279"/>
    </row>
    <row r="280" spans="9:18" x14ac:dyDescent="0.2">
      <c r="I280" s="2"/>
      <c r="L280" s="10"/>
      <c r="P280" s="17"/>
      <c r="Q280" s="21"/>
      <c r="R280"/>
    </row>
    <row r="281" spans="9:18" x14ac:dyDescent="0.2">
      <c r="I281" s="2"/>
      <c r="L281" s="10"/>
      <c r="P281" s="17"/>
      <c r="Q281" s="21"/>
      <c r="R281"/>
    </row>
    <row r="282" spans="9:18" x14ac:dyDescent="0.2">
      <c r="I282" s="2"/>
      <c r="L282" s="10"/>
      <c r="P282" s="17"/>
      <c r="Q282" s="21"/>
      <c r="R282"/>
    </row>
    <row r="283" spans="9:18" x14ac:dyDescent="0.2">
      <c r="I283" s="2"/>
      <c r="L283" s="10"/>
      <c r="O283" s="12"/>
      <c r="P283" s="17"/>
      <c r="Q283" s="21"/>
      <c r="R283" s="11"/>
    </row>
    <row r="284" spans="9:18" x14ac:dyDescent="0.2">
      <c r="I284" s="2"/>
      <c r="L284" s="10"/>
      <c r="P284" s="17"/>
      <c r="Q284" s="21"/>
      <c r="R284"/>
    </row>
    <row r="285" spans="9:18" x14ac:dyDescent="0.2">
      <c r="I285" s="2"/>
      <c r="L285" s="10"/>
      <c r="P285" s="17"/>
      <c r="Q285" s="21"/>
      <c r="R285"/>
    </row>
    <row r="286" spans="9:18" x14ac:dyDescent="0.2">
      <c r="I286" s="2"/>
      <c r="L286" s="10"/>
      <c r="P286" s="17"/>
      <c r="Q286" s="21"/>
      <c r="R286"/>
    </row>
    <row r="287" spans="9:18" x14ac:dyDescent="0.2">
      <c r="I287" s="2"/>
      <c r="L287" s="10"/>
      <c r="P287" s="17"/>
      <c r="Q287" s="21"/>
      <c r="R287"/>
    </row>
    <row r="288" spans="9:18" x14ac:dyDescent="0.2">
      <c r="I288" s="2"/>
      <c r="L288" s="10"/>
      <c r="P288" s="17"/>
      <c r="Q288" s="21"/>
      <c r="R288"/>
    </row>
    <row r="289" spans="9:18" x14ac:dyDescent="0.2">
      <c r="I289" s="2"/>
      <c r="L289" s="10"/>
      <c r="P289" s="17"/>
      <c r="Q289" s="21"/>
      <c r="R289"/>
    </row>
    <row r="290" spans="9:18" x14ac:dyDescent="0.2">
      <c r="I290" s="2"/>
      <c r="L290" s="10"/>
      <c r="P290" s="17"/>
      <c r="Q290" s="21"/>
      <c r="R290"/>
    </row>
    <row r="291" spans="9:18" x14ac:dyDescent="0.2">
      <c r="P291" s="17"/>
      <c r="Q291" s="21"/>
      <c r="R291" s="1"/>
    </row>
    <row r="292" spans="9:18" x14ac:dyDescent="0.2">
      <c r="P292" s="17"/>
      <c r="Q292" s="21"/>
    </row>
    <row r="293" spans="9:18" x14ac:dyDescent="0.2">
      <c r="P293" s="17"/>
      <c r="Q293" s="21"/>
    </row>
    <row r="299" spans="9:18" x14ac:dyDescent="0.2">
      <c r="R299" s="1"/>
    </row>
    <row r="304" spans="9:18" x14ac:dyDescent="0.2">
      <c r="R304" s="12"/>
    </row>
    <row r="307" spans="4:18" x14ac:dyDescent="0.2">
      <c r="D307" s="9"/>
      <c r="R307" s="1"/>
    </row>
    <row r="308" spans="4:18" x14ac:dyDescent="0.2">
      <c r="D308" s="9"/>
    </row>
    <row r="315" spans="4:18" x14ac:dyDescent="0.2">
      <c r="R315" s="1"/>
    </row>
    <row r="323" spans="18:18" x14ac:dyDescent="0.2">
      <c r="R323" s="1"/>
    </row>
    <row r="331" spans="18:18" x14ac:dyDescent="0.2">
      <c r="R331" s="1"/>
    </row>
    <row r="339" spans="18:18" x14ac:dyDescent="0.2">
      <c r="R339" s="1"/>
    </row>
    <row r="347" spans="18:18" x14ac:dyDescent="0.2">
      <c r="R347" s="1"/>
    </row>
  </sheetData>
  <phoneticPr fontId="8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44"/>
  <sheetViews>
    <sheetView zoomScale="75" workbookViewId="0">
      <pane ySplit="19" topLeftCell="A53" activePane="bottomLeft" state="frozen"/>
      <selection pane="bottomLeft" activeCell="A20" sqref="A20:R83"/>
    </sheetView>
  </sheetViews>
  <sheetFormatPr defaultRowHeight="12.75" x14ac:dyDescent="0.2"/>
  <cols>
    <col min="1" max="1" width="15.140625" style="4" customWidth="1"/>
    <col min="2" max="2" width="14.5703125" customWidth="1"/>
    <col min="8" max="8" width="14.85546875" customWidth="1"/>
    <col min="9" max="9" width="16.5703125" customWidth="1"/>
    <col min="12" max="12" width="9.42578125" bestFit="1" customWidth="1"/>
    <col min="13" max="14" width="8.85546875" style="8"/>
    <col min="15" max="15" width="15.85546875" bestFit="1" customWidth="1"/>
    <col min="16" max="16" width="10.140625" style="17" customWidth="1"/>
    <col min="17" max="17" width="10.85546875" style="21" customWidth="1"/>
    <col min="18" max="18" width="40" bestFit="1" customWidth="1"/>
    <col min="20" max="20" width="10.42578125" bestFit="1" customWidth="1"/>
  </cols>
  <sheetData>
    <row r="1" spans="1:20" ht="15.75" x14ac:dyDescent="0.25">
      <c r="A1" s="14" t="s">
        <v>28</v>
      </c>
      <c r="L1" s="8"/>
      <c r="N1"/>
      <c r="O1" s="17"/>
      <c r="P1" s="21"/>
      <c r="Q1"/>
    </row>
    <row r="2" spans="1:20" ht="15.75" x14ac:dyDescent="0.25">
      <c r="A2" s="14" t="s">
        <v>0</v>
      </c>
    </row>
    <row r="3" spans="1:20" ht="15" x14ac:dyDescent="0.2">
      <c r="A3" s="13" t="s">
        <v>16</v>
      </c>
    </row>
    <row r="4" spans="1:20" ht="15" x14ac:dyDescent="0.2">
      <c r="A4" s="13" t="s">
        <v>27</v>
      </c>
    </row>
    <row r="5" spans="1:20" ht="15.75" thickBot="1" x14ac:dyDescent="0.25">
      <c r="A5" s="13"/>
    </row>
    <row r="6" spans="1:20" ht="13.5" thickBot="1" x14ac:dyDescent="0.25">
      <c r="A6" s="60" t="s">
        <v>22</v>
      </c>
      <c r="H6" s="44" t="s">
        <v>21</v>
      </c>
      <c r="I6" s="45" t="s">
        <v>25</v>
      </c>
      <c r="M6" s="2"/>
      <c r="N6" s="2"/>
      <c r="O6" s="4"/>
      <c r="Q6" s="19"/>
      <c r="R6" s="4"/>
      <c r="S6" s="4"/>
      <c r="T6" s="4"/>
    </row>
    <row r="7" spans="1:20" ht="13.5" thickBot="1" x14ac:dyDescent="0.25">
      <c r="A7" s="65">
        <v>2.2532000000000001</v>
      </c>
      <c r="H7" s="61">
        <v>1</v>
      </c>
      <c r="I7" s="62">
        <v>27.326256651270839</v>
      </c>
      <c r="M7" s="2"/>
      <c r="N7" s="2"/>
      <c r="O7" s="4"/>
      <c r="Q7" s="19"/>
      <c r="R7" s="4"/>
      <c r="S7" s="4"/>
      <c r="T7" s="4"/>
    </row>
    <row r="8" spans="1:20" x14ac:dyDescent="0.2">
      <c r="A8" s="66">
        <f>A7/(A7-1)</f>
        <v>1.7979572294924993</v>
      </c>
      <c r="C8" s="4"/>
      <c r="H8" s="61">
        <v>2</v>
      </c>
      <c r="I8" s="62">
        <v>8.9214155892065712</v>
      </c>
      <c r="M8" s="2"/>
      <c r="N8" s="2"/>
      <c r="O8" s="4"/>
      <c r="Q8" s="19"/>
      <c r="R8" s="4"/>
      <c r="S8" s="4"/>
      <c r="T8" s="4"/>
    </row>
    <row r="9" spans="1:20" ht="13.5" thickBot="1" x14ac:dyDescent="0.25">
      <c r="A9" s="67">
        <v>1.7979572294924993</v>
      </c>
      <c r="H9" s="61">
        <v>3</v>
      </c>
      <c r="I9" s="62">
        <v>1.6849337925250363</v>
      </c>
      <c r="M9" s="2"/>
      <c r="N9" s="2"/>
      <c r="O9" s="4"/>
      <c r="Q9" s="19"/>
      <c r="R9" s="4"/>
      <c r="S9" s="4"/>
      <c r="T9" s="4"/>
    </row>
    <row r="10" spans="1:20" ht="13.5" thickBot="1" x14ac:dyDescent="0.25">
      <c r="A10" s="46"/>
      <c r="H10" s="61">
        <v>4</v>
      </c>
      <c r="I10" s="62">
        <v>0.53643986857369075</v>
      </c>
      <c r="M10" s="2"/>
      <c r="N10" s="2"/>
      <c r="O10" s="4"/>
      <c r="Q10" s="19"/>
      <c r="R10" s="4"/>
      <c r="S10" s="4"/>
      <c r="T10" s="4"/>
    </row>
    <row r="11" spans="1:20" x14ac:dyDescent="0.2">
      <c r="A11" s="47" t="s">
        <v>1</v>
      </c>
      <c r="B11" s="48"/>
      <c r="C11" s="48"/>
      <c r="D11" s="49"/>
      <c r="H11" s="61">
        <v>5</v>
      </c>
      <c r="I11" s="62">
        <v>0.13721397638440844</v>
      </c>
      <c r="M11" s="2"/>
      <c r="N11" s="2"/>
      <c r="O11" s="4"/>
      <c r="Q11" s="19"/>
      <c r="R11" s="4"/>
      <c r="S11" s="4"/>
      <c r="T11" s="4"/>
    </row>
    <row r="12" spans="1:20" x14ac:dyDescent="0.2">
      <c r="A12" s="50" t="s">
        <v>21</v>
      </c>
      <c r="B12" s="51" t="s">
        <v>23</v>
      </c>
      <c r="C12" s="51" t="s">
        <v>21</v>
      </c>
      <c r="D12" s="52" t="s">
        <v>23</v>
      </c>
      <c r="H12" s="61">
        <v>6</v>
      </c>
      <c r="I12" s="62">
        <v>4.958061418569628E-2</v>
      </c>
      <c r="M12" s="2"/>
      <c r="N12" s="2"/>
      <c r="O12" s="4"/>
      <c r="Q12" s="19"/>
      <c r="R12" s="4"/>
      <c r="S12" s="4"/>
      <c r="T12" s="4"/>
    </row>
    <row r="13" spans="1:20" x14ac:dyDescent="0.2">
      <c r="A13" s="50">
        <v>1</v>
      </c>
      <c r="B13" s="53">
        <v>0</v>
      </c>
      <c r="C13" s="54">
        <v>5</v>
      </c>
      <c r="D13" s="55">
        <v>0</v>
      </c>
      <c r="H13" s="61">
        <v>7</v>
      </c>
      <c r="I13" s="62">
        <v>1.1969109850497893E-2</v>
      </c>
      <c r="M13" s="2"/>
      <c r="N13" s="2"/>
      <c r="O13" s="4"/>
      <c r="Q13" s="19"/>
      <c r="R13" s="4"/>
      <c r="S13" s="4"/>
      <c r="T13" s="4"/>
    </row>
    <row r="14" spans="1:20" ht="13.5" thickBot="1" x14ac:dyDescent="0.25">
      <c r="A14" s="50">
        <v>2</v>
      </c>
      <c r="B14" s="53">
        <v>0</v>
      </c>
      <c r="C14" s="54">
        <v>6</v>
      </c>
      <c r="D14" s="55">
        <v>0</v>
      </c>
      <c r="H14" s="63">
        <v>8</v>
      </c>
      <c r="I14" s="64">
        <v>3.913065884837013E-3</v>
      </c>
      <c r="M14" s="2"/>
      <c r="N14" s="2"/>
      <c r="O14" s="4"/>
      <c r="Q14" s="19"/>
      <c r="R14" s="4"/>
      <c r="S14" s="4"/>
      <c r="T14" s="4"/>
    </row>
    <row r="15" spans="1:20" x14ac:dyDescent="0.2">
      <c r="A15" s="50">
        <v>3</v>
      </c>
      <c r="B15" s="53">
        <v>0</v>
      </c>
      <c r="C15" s="54">
        <v>7</v>
      </c>
      <c r="D15" s="55">
        <v>0</v>
      </c>
      <c r="M15" s="2"/>
      <c r="N15" s="2"/>
      <c r="O15" s="4"/>
      <c r="Q15" s="19"/>
      <c r="R15" s="1"/>
      <c r="S15" s="4"/>
      <c r="T15" s="4"/>
    </row>
    <row r="16" spans="1:20" ht="13.5" thickBot="1" x14ac:dyDescent="0.25">
      <c r="A16" s="56">
        <v>4</v>
      </c>
      <c r="B16" s="57">
        <v>0</v>
      </c>
      <c r="C16" s="58">
        <v>8</v>
      </c>
      <c r="D16" s="59">
        <v>0</v>
      </c>
      <c r="M16" s="2"/>
      <c r="N16" s="2"/>
      <c r="O16" s="4"/>
      <c r="Q16" s="19"/>
      <c r="R16" s="4"/>
      <c r="S16" s="4"/>
      <c r="T16" s="4"/>
    </row>
    <row r="17" spans="1:22" x14ac:dyDescent="0.2">
      <c r="C17" s="4"/>
      <c r="F17" s="12"/>
      <c r="M17" s="2"/>
      <c r="N17" s="2"/>
      <c r="O17" s="4"/>
      <c r="Q17" s="19"/>
      <c r="R17" s="4"/>
      <c r="S17" s="4"/>
      <c r="T17" s="4"/>
    </row>
    <row r="18" spans="1:22" x14ac:dyDescent="0.2">
      <c r="B18" s="8" t="s">
        <v>14</v>
      </c>
      <c r="C18" s="4"/>
      <c r="F18" s="8" t="s">
        <v>15</v>
      </c>
      <c r="H18" s="4"/>
      <c r="M18" s="2"/>
      <c r="N18" s="2"/>
      <c r="O18" s="4"/>
      <c r="Q18" s="19"/>
      <c r="R18" s="4"/>
      <c r="S18" s="2"/>
      <c r="T18" s="5"/>
    </row>
    <row r="19" spans="1:22" s="8" customFormat="1" x14ac:dyDescent="0.2">
      <c r="A19" s="6" t="s">
        <v>2</v>
      </c>
      <c r="B19" s="6" t="s">
        <v>3</v>
      </c>
      <c r="C19" s="6" t="s">
        <v>4</v>
      </c>
      <c r="D19" s="6" t="s">
        <v>5</v>
      </c>
      <c r="E19" s="6" t="s">
        <v>6</v>
      </c>
      <c r="F19" s="6" t="s">
        <v>5</v>
      </c>
      <c r="G19" s="6" t="s">
        <v>6</v>
      </c>
      <c r="H19" s="6" t="s">
        <v>7</v>
      </c>
      <c r="I19" s="6" t="s">
        <v>8</v>
      </c>
      <c r="J19" s="6" t="s">
        <v>9</v>
      </c>
      <c r="K19" s="6" t="s">
        <v>10</v>
      </c>
      <c r="L19" s="6" t="s">
        <v>11</v>
      </c>
      <c r="M19" s="7" t="s">
        <v>12</v>
      </c>
      <c r="N19" s="7" t="s">
        <v>13</v>
      </c>
      <c r="O19" s="15" t="s">
        <v>17</v>
      </c>
      <c r="P19" s="16" t="s">
        <v>18</v>
      </c>
      <c r="Q19" s="20" t="s">
        <v>19</v>
      </c>
      <c r="R19" s="15" t="s">
        <v>20</v>
      </c>
      <c r="S19" s="2"/>
      <c r="T19" s="2"/>
    </row>
    <row r="20" spans="1:22" x14ac:dyDescent="0.2">
      <c r="A20" s="4">
        <v>500850</v>
      </c>
      <c r="B20" s="4">
        <v>100</v>
      </c>
      <c r="C20" s="4">
        <v>8</v>
      </c>
      <c r="D20" s="4">
        <v>3.85</v>
      </c>
      <c r="E20" s="4">
        <v>3</v>
      </c>
      <c r="F20" s="4">
        <f>IF($C20=5,D20-$D$13,IF($C20=6,D20-$D$14,IF($C20=7,D20-$D$15,IF($C20=8,D20-$D$16,D20))))</f>
        <v>3.85</v>
      </c>
      <c r="G20" s="4">
        <f>IF($C20=5,E20-$D$13,IF($C20=6,E20-$D$14,IF($C20=7,E20-$D$15,IF($C20=8,E20-$D$16,E20))))</f>
        <v>3</v>
      </c>
      <c r="H20" s="4">
        <f>IF(C20=1, $I$7, IF(C20=2,$I$8,IF(C20=3,$I$9,IF(C20=4,$I$10,IF(C20=5,$I$11,IF(C20=6,$I$12,IF(C20=7,$I$13,IF(C20=8,$I$14))))))))</f>
        <v>3.913065884837013E-3</v>
      </c>
      <c r="I20" s="2">
        <f>H20*$A$9*(F20-G20)*1000/B20</f>
        <v>5.9801963325546971E-2</v>
      </c>
      <c r="J20" s="4">
        <f>$A$7*($A$9*G20-($A$9-1)*F20)*H20*1000/B20</f>
        <v>0.2047056382258958</v>
      </c>
      <c r="K20" s="4">
        <f>(I20+J20)</f>
        <v>0.26450760155144276</v>
      </c>
      <c r="L20" s="10">
        <f>(I20/J20)</f>
        <v>0.29213637613417659</v>
      </c>
      <c r="M20" s="2">
        <f>AVERAGE(I20:I21)</f>
        <v>6.5078607148389339E-2</v>
      </c>
      <c r="N20" s="2">
        <f>AVERAGE(J20:J21)</f>
        <v>0.20163322441598208</v>
      </c>
      <c r="O20" s="4"/>
      <c r="R20" s="4" t="s">
        <v>24</v>
      </c>
      <c r="T20" s="4"/>
      <c r="U20" s="2"/>
      <c r="V20" s="5"/>
    </row>
    <row r="21" spans="1:22" x14ac:dyDescent="0.2">
      <c r="B21" s="4">
        <v>100</v>
      </c>
      <c r="C21" s="4">
        <v>8</v>
      </c>
      <c r="D21" s="4">
        <v>4.05</v>
      </c>
      <c r="E21" s="4">
        <v>3.05</v>
      </c>
      <c r="F21" s="4">
        <f t="shared" ref="F21:F49" si="0">IF($C21=5,D21-$D$13,IF($C21=6,D21-$D$14,IF($C21=7,D21-$D$15,IF($C21=8,D21-$D$16,D21))))</f>
        <v>4.05</v>
      </c>
      <c r="G21" s="4">
        <f t="shared" ref="G21:G49" si="1">IF($C21=5,E21-$D$13,IF($C21=6,E21-$D$14,IF($C21=7,E21-$D$15,IF($C21=8,E21-$D$16,E21))))</f>
        <v>3.05</v>
      </c>
      <c r="H21" s="4">
        <f t="shared" ref="H21:H49" si="2">IF(C21=1, $I$7, IF(C21=2,$I$8,IF(C21=3,$I$9,IF(C21=4,$I$10,IF(C21=5,$I$11,IF(C21=6,$I$12,IF(C21=7,$I$13,IF(C21=8,$I$14))))))))</f>
        <v>3.913065884837013E-3</v>
      </c>
      <c r="I21" s="2">
        <f t="shared" ref="I21:I49" si="3">H21*$A$9*(F21-G21)*1000/B21</f>
        <v>7.0355250971231714E-2</v>
      </c>
      <c r="J21" s="4">
        <f t="shared" ref="J21:J49" si="4">$A$7*($A$9*G21-($A$9-1)*F21)*H21*1000/B21</f>
        <v>0.19856081060606839</v>
      </c>
      <c r="K21" s="4">
        <f t="shared" ref="K21:K49" si="5">(I21+J21)</f>
        <v>0.26891606157730008</v>
      </c>
      <c r="L21" s="10">
        <f t="shared" ref="L21:L49" si="6">(I21/J21)</f>
        <v>0.35432596571541958</v>
      </c>
      <c r="M21" s="2"/>
      <c r="N21" s="2"/>
      <c r="O21" s="4"/>
      <c r="R21" s="4"/>
      <c r="T21" s="4"/>
      <c r="U21" s="2"/>
      <c r="V21" s="3"/>
    </row>
    <row r="22" spans="1:22" x14ac:dyDescent="0.2">
      <c r="A22" s="4">
        <v>500851</v>
      </c>
      <c r="B22" s="4">
        <v>100</v>
      </c>
      <c r="C22" s="4">
        <v>6</v>
      </c>
      <c r="D22" s="4">
        <v>2.7</v>
      </c>
      <c r="E22" s="4">
        <v>1.5</v>
      </c>
      <c r="F22" s="4">
        <f t="shared" si="0"/>
        <v>2.7</v>
      </c>
      <c r="G22" s="4">
        <f t="shared" si="1"/>
        <v>1.5</v>
      </c>
      <c r="H22" s="4">
        <f t="shared" si="2"/>
        <v>4.958061418569628E-2</v>
      </c>
      <c r="I22" s="2">
        <f t="shared" si="3"/>
        <v>1.0697258846142119</v>
      </c>
      <c r="J22" s="4">
        <f t="shared" si="4"/>
        <v>0.60599971363395089</v>
      </c>
      <c r="K22" s="4">
        <f t="shared" si="5"/>
        <v>1.6757255982481629</v>
      </c>
      <c r="L22" s="10">
        <f t="shared" si="6"/>
        <v>1.7652250661959406</v>
      </c>
      <c r="M22" s="2">
        <f>AVERAGE(I22:I23)</f>
        <v>1.0697258846142117</v>
      </c>
      <c r="N22" s="2">
        <f>AVERAGE(J22:J23)</f>
        <v>0.66185723357555659</v>
      </c>
      <c r="O22" s="4"/>
    </row>
    <row r="23" spans="1:22" x14ac:dyDescent="0.2">
      <c r="B23" s="4">
        <v>100</v>
      </c>
      <c r="C23" s="4">
        <v>6</v>
      </c>
      <c r="D23" s="4">
        <v>2.8</v>
      </c>
      <c r="E23" s="4">
        <v>1.6</v>
      </c>
      <c r="F23" s="4">
        <f t="shared" si="0"/>
        <v>2.8</v>
      </c>
      <c r="G23" s="4">
        <f t="shared" si="1"/>
        <v>1.6</v>
      </c>
      <c r="H23" s="4">
        <f t="shared" si="2"/>
        <v>4.958061418569628E-2</v>
      </c>
      <c r="I23" s="2">
        <f t="shared" si="3"/>
        <v>1.0697258846142115</v>
      </c>
      <c r="J23" s="4">
        <f t="shared" si="4"/>
        <v>0.7177147535171623</v>
      </c>
      <c r="K23" s="4">
        <f t="shared" si="5"/>
        <v>1.7874406381313737</v>
      </c>
      <c r="L23" s="10">
        <f t="shared" si="6"/>
        <v>1.4904610492845773</v>
      </c>
      <c r="M23" s="2"/>
      <c r="N23" s="2"/>
      <c r="O23" s="4"/>
    </row>
    <row r="24" spans="1:22" x14ac:dyDescent="0.2">
      <c r="A24" s="4">
        <v>500852</v>
      </c>
      <c r="B24" s="4">
        <v>100</v>
      </c>
      <c r="C24" s="4">
        <v>6</v>
      </c>
      <c r="D24" s="4">
        <v>3.65</v>
      </c>
      <c r="E24" s="4">
        <v>1.95</v>
      </c>
      <c r="F24" s="4">
        <f t="shared" si="0"/>
        <v>3.65</v>
      </c>
      <c r="G24" s="4">
        <f t="shared" si="1"/>
        <v>1.95</v>
      </c>
      <c r="H24" s="4">
        <f t="shared" si="2"/>
        <v>4.958061418569628E-2</v>
      </c>
      <c r="I24" s="2">
        <f t="shared" si="3"/>
        <v>1.5154450032034665</v>
      </c>
      <c r="J24" s="4">
        <f t="shared" si="4"/>
        <v>0.6629982745191445</v>
      </c>
      <c r="K24" s="4">
        <f t="shared" si="5"/>
        <v>2.1784432777226108</v>
      </c>
      <c r="L24" s="10">
        <f t="shared" si="6"/>
        <v>2.2857450184204167</v>
      </c>
      <c r="M24" s="2">
        <f t="shared" ref="M24" si="7">AVERAGE(I24:I25)</f>
        <v>1.4708730913445411</v>
      </c>
      <c r="N24" s="2">
        <f t="shared" ref="N24" si="8">AVERAGE(J24:J25)</f>
        <v>0.62378390646566206</v>
      </c>
      <c r="O24" s="4"/>
    </row>
    <row r="25" spans="1:22" x14ac:dyDescent="0.2">
      <c r="B25" s="4">
        <v>100</v>
      </c>
      <c r="C25" s="4">
        <v>6</v>
      </c>
      <c r="D25" s="4">
        <v>3.4</v>
      </c>
      <c r="E25" s="4">
        <v>1.8</v>
      </c>
      <c r="F25" s="4">
        <f t="shared" si="0"/>
        <v>3.4</v>
      </c>
      <c r="G25" s="4">
        <f t="shared" si="1"/>
        <v>1.8</v>
      </c>
      <c r="H25" s="4">
        <f t="shared" si="2"/>
        <v>4.958061418569628E-2</v>
      </c>
      <c r="I25" s="2">
        <f t="shared" si="3"/>
        <v>1.4263011794856157</v>
      </c>
      <c r="J25" s="4">
        <f t="shared" si="4"/>
        <v>0.58456953841217951</v>
      </c>
      <c r="K25" s="4">
        <f t="shared" si="5"/>
        <v>2.0108707178977951</v>
      </c>
      <c r="L25" s="10">
        <f t="shared" si="6"/>
        <v>2.4399170428205443</v>
      </c>
      <c r="M25" s="2"/>
      <c r="N25" s="2"/>
      <c r="O25" s="4"/>
    </row>
    <row r="26" spans="1:22" x14ac:dyDescent="0.2">
      <c r="A26" s="4">
        <v>500853</v>
      </c>
      <c r="B26" s="4">
        <v>100</v>
      </c>
      <c r="C26" s="4">
        <v>6</v>
      </c>
      <c r="D26" s="4">
        <v>3.6</v>
      </c>
      <c r="E26" s="4">
        <v>1.9</v>
      </c>
      <c r="F26" s="4">
        <f t="shared" si="0"/>
        <v>3.6</v>
      </c>
      <c r="G26" s="4">
        <f t="shared" si="1"/>
        <v>1.9</v>
      </c>
      <c r="H26" s="4">
        <f t="shared" si="2"/>
        <v>4.958061418569628E-2</v>
      </c>
      <c r="I26" s="2">
        <f t="shared" si="3"/>
        <v>1.5154450032034668</v>
      </c>
      <c r="J26" s="4">
        <f t="shared" si="4"/>
        <v>0.60714075457753891</v>
      </c>
      <c r="K26" s="4">
        <f t="shared" si="5"/>
        <v>2.1225857577810059</v>
      </c>
      <c r="L26" s="10">
        <f t="shared" si="6"/>
        <v>2.4960357079931899</v>
      </c>
      <c r="M26" s="2">
        <f t="shared" ref="M26" si="9">AVERAGE(I26:I27)</f>
        <v>1.5154450032034665</v>
      </c>
      <c r="N26" s="2">
        <f t="shared" ref="N26" si="10">AVERAGE(J26:J27)</f>
        <v>0.63506951454834171</v>
      </c>
      <c r="O26" s="4"/>
      <c r="R26" s="4"/>
    </row>
    <row r="27" spans="1:22" x14ac:dyDescent="0.2">
      <c r="B27" s="4">
        <v>100</v>
      </c>
      <c r="C27" s="4">
        <v>6</v>
      </c>
      <c r="D27" s="4">
        <v>3.65</v>
      </c>
      <c r="E27" s="4">
        <v>1.95</v>
      </c>
      <c r="F27" s="4">
        <f t="shared" si="0"/>
        <v>3.65</v>
      </c>
      <c r="G27" s="4">
        <f t="shared" si="1"/>
        <v>1.95</v>
      </c>
      <c r="H27" s="4">
        <f t="shared" si="2"/>
        <v>4.958061418569628E-2</v>
      </c>
      <c r="I27" s="2">
        <f t="shared" si="3"/>
        <v>1.5154450032034665</v>
      </c>
      <c r="J27" s="4">
        <f t="shared" si="4"/>
        <v>0.6629982745191445</v>
      </c>
      <c r="K27" s="4">
        <f t="shared" si="5"/>
        <v>2.1784432777226108</v>
      </c>
      <c r="L27" s="10">
        <f t="shared" si="6"/>
        <v>2.2857450184204167</v>
      </c>
      <c r="M27" s="2"/>
      <c r="N27" s="2"/>
      <c r="O27" s="4"/>
      <c r="R27" s="4"/>
    </row>
    <row r="28" spans="1:22" x14ac:dyDescent="0.2">
      <c r="A28" s="4">
        <v>500855</v>
      </c>
      <c r="B28" s="4">
        <v>100</v>
      </c>
      <c r="C28" s="4">
        <v>8</v>
      </c>
      <c r="D28" s="4">
        <v>5.3</v>
      </c>
      <c r="E28" s="4">
        <v>3.75</v>
      </c>
      <c r="F28" s="4">
        <f t="shared" si="0"/>
        <v>5.3</v>
      </c>
      <c r="G28" s="4">
        <f t="shared" si="1"/>
        <v>3.75</v>
      </c>
      <c r="H28" s="4">
        <f t="shared" si="2"/>
        <v>3.913065884837013E-3</v>
      </c>
      <c r="I28" s="2">
        <f t="shared" si="3"/>
        <v>0.10905063900540914</v>
      </c>
      <c r="J28" s="4">
        <f t="shared" si="4"/>
        <v>0.22158386293389426</v>
      </c>
      <c r="K28" s="4">
        <f t="shared" si="5"/>
        <v>0.33063450193930338</v>
      </c>
      <c r="L28" s="10">
        <f t="shared" si="6"/>
        <v>0.49214160977933002</v>
      </c>
      <c r="M28" s="2">
        <f t="shared" ref="M28" si="11">AVERAGE(I28:I29)</f>
        <v>8.618518243975884E-2</v>
      </c>
      <c r="N28" s="2">
        <f t="shared" ref="N28" si="12">AVERAGE(J28:J29)</f>
        <v>0.21799855934440032</v>
      </c>
      <c r="O28" s="4"/>
      <c r="R28" s="4"/>
    </row>
    <row r="29" spans="1:22" x14ac:dyDescent="0.2">
      <c r="B29" s="4">
        <v>100</v>
      </c>
      <c r="C29" s="4">
        <v>8</v>
      </c>
      <c r="D29" s="4">
        <v>4.05</v>
      </c>
      <c r="E29" s="4">
        <v>3.15</v>
      </c>
      <c r="F29" s="4">
        <f t="shared" si="0"/>
        <v>4.05</v>
      </c>
      <c r="G29" s="4">
        <f t="shared" si="1"/>
        <v>3.15</v>
      </c>
      <c r="H29" s="4">
        <f t="shared" si="2"/>
        <v>3.913065884837013E-3</v>
      </c>
      <c r="I29" s="2">
        <f t="shared" si="3"/>
        <v>6.3319725874108543E-2</v>
      </c>
      <c r="J29" s="4">
        <f t="shared" si="4"/>
        <v>0.21441325575490638</v>
      </c>
      <c r="K29" s="4">
        <f t="shared" si="5"/>
        <v>0.27773298162901494</v>
      </c>
      <c r="L29" s="10">
        <f t="shared" si="6"/>
        <v>0.29531628373988539</v>
      </c>
      <c r="M29" s="2"/>
      <c r="N29" s="2"/>
      <c r="O29" s="4"/>
      <c r="R29" s="4"/>
    </row>
    <row r="30" spans="1:22" x14ac:dyDescent="0.2">
      <c r="A30" s="4">
        <v>500856</v>
      </c>
      <c r="B30" s="4">
        <v>100</v>
      </c>
      <c r="C30" s="4">
        <v>7</v>
      </c>
      <c r="D30" s="4">
        <v>5.3</v>
      </c>
      <c r="E30" s="4">
        <v>3.2</v>
      </c>
      <c r="F30" s="4">
        <f t="shared" si="0"/>
        <v>5.3</v>
      </c>
      <c r="G30" s="4">
        <f t="shared" si="1"/>
        <v>3.2</v>
      </c>
      <c r="H30" s="4">
        <f t="shared" si="2"/>
        <v>1.1969109850497893E-2</v>
      </c>
      <c r="I30" s="2">
        <f t="shared" si="3"/>
        <v>0.45191889931214396</v>
      </c>
      <c r="J30" s="4">
        <f t="shared" si="4"/>
        <v>0.41108264677239548</v>
      </c>
      <c r="K30" s="4">
        <f t="shared" si="5"/>
        <v>0.86300154608453949</v>
      </c>
      <c r="L30" s="10">
        <f t="shared" si="6"/>
        <v>1.0993383030404549</v>
      </c>
      <c r="M30" s="2">
        <f t="shared" ref="M30" si="13">AVERAGE(I30:I31)</f>
        <v>0.45191889931214402</v>
      </c>
      <c r="N30" s="2">
        <f t="shared" ref="N30" si="14">AVERAGE(J30:J31)</f>
        <v>0.43130924550875172</v>
      </c>
      <c r="O30" s="4"/>
      <c r="R30" s="4"/>
    </row>
    <row r="31" spans="1:22" x14ac:dyDescent="0.2">
      <c r="B31" s="4">
        <v>100</v>
      </c>
      <c r="C31" s="4">
        <v>7</v>
      </c>
      <c r="D31" s="4">
        <v>5.45</v>
      </c>
      <c r="E31" s="4">
        <v>3.35</v>
      </c>
      <c r="F31" s="4">
        <f t="shared" si="0"/>
        <v>5.45</v>
      </c>
      <c r="G31" s="4">
        <f t="shared" si="1"/>
        <v>3.35</v>
      </c>
      <c r="H31" s="4">
        <f t="shared" si="2"/>
        <v>1.1969109850497893E-2</v>
      </c>
      <c r="I31" s="2">
        <f t="shared" si="3"/>
        <v>0.45191889931214413</v>
      </c>
      <c r="J31" s="4">
        <f t="shared" si="4"/>
        <v>0.4515358442451079</v>
      </c>
      <c r="K31" s="4">
        <f t="shared" si="5"/>
        <v>0.90345474355725197</v>
      </c>
      <c r="L31" s="10">
        <f t="shared" si="6"/>
        <v>1.0008483381151647</v>
      </c>
      <c r="M31" s="2"/>
      <c r="N31" s="2"/>
      <c r="O31" s="4"/>
      <c r="R31" s="4"/>
    </row>
    <row r="32" spans="1:22" x14ac:dyDescent="0.2">
      <c r="A32" s="4">
        <v>500857</v>
      </c>
      <c r="B32" s="4">
        <v>100</v>
      </c>
      <c r="C32" s="4">
        <v>6</v>
      </c>
      <c r="D32" s="4">
        <v>2.85</v>
      </c>
      <c r="E32" s="4">
        <v>1.6</v>
      </c>
      <c r="F32" s="4">
        <f t="shared" si="0"/>
        <v>2.85</v>
      </c>
      <c r="G32" s="4">
        <f t="shared" si="1"/>
        <v>1.6</v>
      </c>
      <c r="H32" s="4">
        <f t="shared" si="2"/>
        <v>4.958061418569628E-2</v>
      </c>
      <c r="I32" s="2">
        <f t="shared" si="3"/>
        <v>1.1142977964731373</v>
      </c>
      <c r="J32" s="4">
        <f t="shared" si="4"/>
        <v>0.67314284165823646</v>
      </c>
      <c r="K32" s="4">
        <f t="shared" si="5"/>
        <v>1.7874406381313737</v>
      </c>
      <c r="L32" s="10">
        <f t="shared" si="6"/>
        <v>1.6553660345375567</v>
      </c>
      <c r="M32" s="2">
        <f t="shared" ref="M32" si="15">AVERAGE(I32:I33)</f>
        <v>1.0474399286847489</v>
      </c>
      <c r="N32" s="2">
        <f t="shared" ref="N32" si="16">AVERAGE(J32:J33)</f>
        <v>0.6562144295342166</v>
      </c>
      <c r="O32" s="4"/>
      <c r="R32" s="4"/>
    </row>
    <row r="33" spans="1:18" x14ac:dyDescent="0.2">
      <c r="B33" s="4">
        <v>100</v>
      </c>
      <c r="C33" s="4">
        <v>6</v>
      </c>
      <c r="D33" s="4">
        <v>2.5499999999999998</v>
      </c>
      <c r="E33" s="4">
        <v>1.45</v>
      </c>
      <c r="F33" s="4">
        <f t="shared" si="0"/>
        <v>2.5499999999999998</v>
      </c>
      <c r="G33" s="4">
        <f t="shared" si="1"/>
        <v>1.45</v>
      </c>
      <c r="H33" s="4">
        <f t="shared" si="2"/>
        <v>4.958061418569628E-2</v>
      </c>
      <c r="I33" s="2">
        <f t="shared" si="3"/>
        <v>0.98058206089636069</v>
      </c>
      <c r="J33" s="4">
        <f t="shared" si="4"/>
        <v>0.63928601741019675</v>
      </c>
      <c r="K33" s="4">
        <f t="shared" si="5"/>
        <v>1.6198680783065575</v>
      </c>
      <c r="L33" s="10">
        <f t="shared" si="6"/>
        <v>1.5338706528711263</v>
      </c>
      <c r="M33" s="2"/>
      <c r="N33" s="2"/>
      <c r="O33" s="4"/>
      <c r="R33" s="4"/>
    </row>
    <row r="34" spans="1:18" x14ac:dyDescent="0.2">
      <c r="A34" s="4">
        <v>500858</v>
      </c>
      <c r="B34" s="4">
        <v>100</v>
      </c>
      <c r="C34" s="4">
        <v>6</v>
      </c>
      <c r="D34" s="4">
        <v>2.8</v>
      </c>
      <c r="E34" s="4">
        <v>1.55</v>
      </c>
      <c r="F34" s="4">
        <f t="shared" si="0"/>
        <v>2.8</v>
      </c>
      <c r="G34" s="4">
        <f t="shared" si="1"/>
        <v>1.55</v>
      </c>
      <c r="H34" s="4">
        <f t="shared" si="2"/>
        <v>4.958061418569628E-2</v>
      </c>
      <c r="I34" s="2">
        <f t="shared" si="3"/>
        <v>1.1142977964731371</v>
      </c>
      <c r="J34" s="4">
        <f t="shared" si="4"/>
        <v>0.61728532171663131</v>
      </c>
      <c r="K34" s="4">
        <f t="shared" si="5"/>
        <v>1.7315831181897683</v>
      </c>
      <c r="L34" s="10">
        <f t="shared" si="6"/>
        <v>1.8051584207029994</v>
      </c>
      <c r="M34" s="2">
        <f t="shared" ref="M34" si="17">AVERAGE(I34:I35)</f>
        <v>1.2257275761204509</v>
      </c>
      <c r="N34" s="2">
        <f t="shared" ref="N34" si="18">AVERAGE(J34:J35)</f>
        <v>0.53378430204012028</v>
      </c>
      <c r="O34" s="4"/>
      <c r="R34" s="4"/>
    </row>
    <row r="35" spans="1:18" x14ac:dyDescent="0.2">
      <c r="B35" s="4">
        <v>100</v>
      </c>
      <c r="C35" s="4">
        <v>6</v>
      </c>
      <c r="D35" s="4">
        <v>3.1</v>
      </c>
      <c r="E35" s="4">
        <v>1.6</v>
      </c>
      <c r="F35" s="4">
        <f t="shared" si="0"/>
        <v>3.1</v>
      </c>
      <c r="G35" s="4">
        <f t="shared" si="1"/>
        <v>1.6</v>
      </c>
      <c r="H35" s="4">
        <f t="shared" si="2"/>
        <v>4.958061418569628E-2</v>
      </c>
      <c r="I35" s="2">
        <f t="shared" si="3"/>
        <v>1.3371573557677647</v>
      </c>
      <c r="J35" s="4">
        <f t="shared" si="4"/>
        <v>0.45028328236360926</v>
      </c>
      <c r="K35" s="4">
        <f t="shared" si="5"/>
        <v>1.7874406381313741</v>
      </c>
      <c r="L35" s="10">
        <f t="shared" si="6"/>
        <v>2.9695913842255282</v>
      </c>
      <c r="M35" s="2"/>
      <c r="N35" s="2"/>
      <c r="O35" s="4"/>
      <c r="R35" s="4"/>
    </row>
    <row r="36" spans="1:18" x14ac:dyDescent="0.2">
      <c r="A36" s="4">
        <v>500860</v>
      </c>
      <c r="B36" s="4">
        <v>100</v>
      </c>
      <c r="C36" s="4">
        <v>8</v>
      </c>
      <c r="D36" s="4">
        <v>4.05</v>
      </c>
      <c r="E36" s="4">
        <v>3.15</v>
      </c>
      <c r="F36" s="4">
        <f t="shared" si="0"/>
        <v>4.05</v>
      </c>
      <c r="G36" s="4">
        <f t="shared" si="1"/>
        <v>3.15</v>
      </c>
      <c r="H36" s="4">
        <f t="shared" si="2"/>
        <v>3.913065884837013E-3</v>
      </c>
      <c r="I36" s="2">
        <f t="shared" si="3"/>
        <v>6.3319725874108543E-2</v>
      </c>
      <c r="J36" s="4">
        <f t="shared" si="4"/>
        <v>0.21441325575490638</v>
      </c>
      <c r="K36" s="4">
        <f t="shared" si="5"/>
        <v>0.27773298162901494</v>
      </c>
      <c r="L36" s="10">
        <f t="shared" si="6"/>
        <v>0.29531628373988539</v>
      </c>
      <c r="M36" s="2">
        <f t="shared" ref="M36" si="19">AVERAGE(I36:I37)</f>
        <v>6.5078607148389325E-2</v>
      </c>
      <c r="N36" s="2">
        <f t="shared" ref="N36" si="20">AVERAGE(J36:J37)</f>
        <v>0.22147129453234032</v>
      </c>
      <c r="O36" s="4"/>
    </row>
    <row r="37" spans="1:18" x14ac:dyDescent="0.2">
      <c r="B37" s="4">
        <v>100</v>
      </c>
      <c r="C37" s="4">
        <v>8</v>
      </c>
      <c r="D37" s="4">
        <v>4.3</v>
      </c>
      <c r="E37" s="4">
        <v>3.35</v>
      </c>
      <c r="F37" s="4">
        <f t="shared" si="0"/>
        <v>4.3</v>
      </c>
      <c r="G37" s="4">
        <f t="shared" si="1"/>
        <v>3.35</v>
      </c>
      <c r="H37" s="4">
        <f t="shared" si="2"/>
        <v>3.913065884837013E-3</v>
      </c>
      <c r="I37" s="2">
        <f t="shared" si="3"/>
        <v>6.6837488422670108E-2</v>
      </c>
      <c r="J37" s="4">
        <f t="shared" si="4"/>
        <v>0.22852933330977426</v>
      </c>
      <c r="K37" s="4">
        <f t="shared" si="5"/>
        <v>0.29536682173244438</v>
      </c>
      <c r="L37" s="10">
        <f t="shared" si="6"/>
        <v>0.29246787471291963</v>
      </c>
      <c r="M37" s="2"/>
      <c r="N37" s="2"/>
      <c r="O37" s="4"/>
    </row>
    <row r="38" spans="1:18" x14ac:dyDescent="0.2">
      <c r="A38" s="4">
        <v>500861</v>
      </c>
      <c r="B38" s="4">
        <v>100</v>
      </c>
      <c r="C38" s="4">
        <v>6</v>
      </c>
      <c r="D38" s="4">
        <v>2.35</v>
      </c>
      <c r="E38" s="4">
        <v>1.35</v>
      </c>
      <c r="F38" s="4">
        <f t="shared" si="0"/>
        <v>2.35</v>
      </c>
      <c r="G38" s="4">
        <f t="shared" si="1"/>
        <v>1.35</v>
      </c>
      <c r="H38" s="4">
        <f t="shared" si="2"/>
        <v>4.958061418569628E-2</v>
      </c>
      <c r="I38" s="2">
        <f t="shared" si="3"/>
        <v>0.89143823717850978</v>
      </c>
      <c r="J38" s="4">
        <f t="shared" si="4"/>
        <v>0.61671480124483669</v>
      </c>
      <c r="K38" s="4">
        <f t="shared" si="5"/>
        <v>1.5081530384233464</v>
      </c>
      <c r="L38" s="10">
        <f t="shared" si="6"/>
        <v>1.4454626926079037</v>
      </c>
      <c r="M38" s="2">
        <f t="shared" ref="M38" si="21">AVERAGE(I38:I39)</f>
        <v>0.86915228124904709</v>
      </c>
      <c r="N38" s="2">
        <f t="shared" ref="N38" si="22">AVERAGE(J38:J39)</f>
        <v>0.66692951714510196</v>
      </c>
      <c r="O38" s="4"/>
    </row>
    <row r="39" spans="1:18" x14ac:dyDescent="0.2">
      <c r="B39" s="4">
        <v>100</v>
      </c>
      <c r="C39" s="4">
        <v>6</v>
      </c>
      <c r="D39" s="4">
        <v>2.35</v>
      </c>
      <c r="E39" s="4">
        <v>1.4</v>
      </c>
      <c r="F39" s="4">
        <f t="shared" si="0"/>
        <v>2.35</v>
      </c>
      <c r="G39" s="4">
        <f t="shared" si="1"/>
        <v>1.4</v>
      </c>
      <c r="H39" s="4">
        <f t="shared" si="2"/>
        <v>4.958061418569628E-2</v>
      </c>
      <c r="I39" s="2">
        <f t="shared" si="3"/>
        <v>0.8468663253195845</v>
      </c>
      <c r="J39" s="4">
        <f t="shared" si="4"/>
        <v>0.71714423304536723</v>
      </c>
      <c r="K39" s="4">
        <f t="shared" si="5"/>
        <v>1.5640105583649517</v>
      </c>
      <c r="L39" s="10">
        <f t="shared" si="6"/>
        <v>1.1808870326173437</v>
      </c>
      <c r="M39" s="2"/>
      <c r="N39" s="2"/>
      <c r="O39" s="4"/>
    </row>
    <row r="40" spans="1:18" x14ac:dyDescent="0.2">
      <c r="A40" s="4">
        <v>500862</v>
      </c>
      <c r="B40" s="4">
        <v>100</v>
      </c>
      <c r="C40" s="4">
        <v>6</v>
      </c>
      <c r="D40" s="4">
        <v>2.35</v>
      </c>
      <c r="E40" s="4">
        <v>1.35</v>
      </c>
      <c r="F40" s="4">
        <f t="shared" si="0"/>
        <v>2.35</v>
      </c>
      <c r="G40" s="4">
        <f t="shared" si="1"/>
        <v>1.35</v>
      </c>
      <c r="H40" s="4">
        <f t="shared" si="2"/>
        <v>4.958061418569628E-2</v>
      </c>
      <c r="I40" s="2">
        <f t="shared" si="3"/>
        <v>0.89143823717850978</v>
      </c>
      <c r="J40" s="4">
        <f t="shared" si="4"/>
        <v>0.61671480124483669</v>
      </c>
      <c r="K40" s="4">
        <f t="shared" si="5"/>
        <v>1.5081530384233464</v>
      </c>
      <c r="L40" s="10">
        <f t="shared" si="6"/>
        <v>1.4454626926079037</v>
      </c>
      <c r="M40" s="2">
        <f t="shared" ref="M40" si="23">AVERAGE(I40:I41)</f>
        <v>0.9582961049668981</v>
      </c>
      <c r="N40" s="2">
        <f t="shared" ref="N40" si="24">AVERAGE(J40:J41)</f>
        <v>0.60571445339805385</v>
      </c>
      <c r="O40" s="4"/>
    </row>
    <row r="41" spans="1:18" x14ac:dyDescent="0.2">
      <c r="B41" s="4">
        <v>100</v>
      </c>
      <c r="C41" s="4">
        <v>6</v>
      </c>
      <c r="D41" s="4">
        <v>2.6</v>
      </c>
      <c r="E41" s="4">
        <v>1.45</v>
      </c>
      <c r="F41" s="4">
        <f t="shared" si="0"/>
        <v>2.6</v>
      </c>
      <c r="G41" s="4">
        <f t="shared" si="1"/>
        <v>1.45</v>
      </c>
      <c r="H41" s="4">
        <f t="shared" si="2"/>
        <v>4.958061418569628E-2</v>
      </c>
      <c r="I41" s="2">
        <f t="shared" si="3"/>
        <v>1.0251539727552865</v>
      </c>
      <c r="J41" s="4">
        <f t="shared" si="4"/>
        <v>0.59471410555127091</v>
      </c>
      <c r="K41" s="4">
        <f t="shared" si="5"/>
        <v>1.6198680783065575</v>
      </c>
      <c r="L41" s="10">
        <f t="shared" si="6"/>
        <v>1.7237761189555423</v>
      </c>
      <c r="M41" s="2"/>
      <c r="N41" s="2"/>
      <c r="O41" s="4"/>
    </row>
    <row r="42" spans="1:18" x14ac:dyDescent="0.2">
      <c r="A42" s="4">
        <v>500863</v>
      </c>
      <c r="B42" s="4">
        <v>100</v>
      </c>
      <c r="C42" s="4">
        <v>6</v>
      </c>
      <c r="D42" s="4">
        <v>2.5</v>
      </c>
      <c r="E42" s="4">
        <v>1.4</v>
      </c>
      <c r="F42" s="4">
        <f t="shared" si="0"/>
        <v>2.5</v>
      </c>
      <c r="G42" s="4">
        <f t="shared" si="1"/>
        <v>1.4</v>
      </c>
      <c r="H42" s="4">
        <f t="shared" si="2"/>
        <v>4.958061418569628E-2</v>
      </c>
      <c r="I42" s="2">
        <f t="shared" si="3"/>
        <v>0.98058206089636091</v>
      </c>
      <c r="J42" s="4">
        <f t="shared" si="4"/>
        <v>0.58342849746859105</v>
      </c>
      <c r="K42" s="4">
        <f t="shared" si="5"/>
        <v>1.564010558364952</v>
      </c>
      <c r="L42" s="10">
        <f t="shared" si="6"/>
        <v>1.6807236279183477</v>
      </c>
      <c r="M42" s="2">
        <f t="shared" ref="M42" si="25">AVERAGE(I42:I43)</f>
        <v>1.0028680168258237</v>
      </c>
      <c r="N42" s="2">
        <f t="shared" ref="N42" si="26">AVERAGE(J42:J43)</f>
        <v>0.56114254153912846</v>
      </c>
      <c r="O42" s="4"/>
    </row>
    <row r="43" spans="1:18" x14ac:dyDescent="0.2">
      <c r="B43" s="4">
        <v>100</v>
      </c>
      <c r="C43" s="4">
        <v>6</v>
      </c>
      <c r="D43" s="4">
        <v>2.5499999999999998</v>
      </c>
      <c r="E43" s="4">
        <v>1.4</v>
      </c>
      <c r="F43" s="4">
        <f t="shared" si="0"/>
        <v>2.5499999999999998</v>
      </c>
      <c r="G43" s="4">
        <f t="shared" si="1"/>
        <v>1.4</v>
      </c>
      <c r="H43" s="4">
        <f t="shared" si="2"/>
        <v>4.958061418569628E-2</v>
      </c>
      <c r="I43" s="2">
        <f t="shared" si="3"/>
        <v>1.0251539727552863</v>
      </c>
      <c r="J43" s="4">
        <f t="shared" si="4"/>
        <v>0.53885658560966576</v>
      </c>
      <c r="K43" s="4">
        <f t="shared" si="5"/>
        <v>1.5640105583649522</v>
      </c>
      <c r="L43" s="10">
        <f t="shared" si="6"/>
        <v>1.9024616199047111</v>
      </c>
      <c r="M43" s="2"/>
      <c r="N43" s="2"/>
      <c r="O43" s="12"/>
      <c r="P43" s="18"/>
    </row>
    <row r="44" spans="1:18" x14ac:dyDescent="0.2">
      <c r="A44" s="4">
        <v>500865</v>
      </c>
      <c r="B44" s="4">
        <v>100</v>
      </c>
      <c r="C44" s="4">
        <v>8</v>
      </c>
      <c r="D44" s="4">
        <v>4.8499999999999996</v>
      </c>
      <c r="E44" s="4">
        <v>3.9</v>
      </c>
      <c r="F44" s="4">
        <f t="shared" si="0"/>
        <v>4.8499999999999996</v>
      </c>
      <c r="G44" s="4">
        <f t="shared" si="1"/>
        <v>3.9</v>
      </c>
      <c r="H44" s="4">
        <f t="shared" si="2"/>
        <v>3.913065884837013E-3</v>
      </c>
      <c r="I44" s="2">
        <f t="shared" si="3"/>
        <v>6.6837488422670108E-2</v>
      </c>
      <c r="J44" s="4">
        <f t="shared" si="4"/>
        <v>0.27702239359420544</v>
      </c>
      <c r="K44" s="4">
        <f t="shared" si="5"/>
        <v>0.34385988201687556</v>
      </c>
      <c r="L44" s="10">
        <f t="shared" si="6"/>
        <v>0.24127106677367244</v>
      </c>
      <c r="M44" s="2">
        <f t="shared" ref="M44" si="27">AVERAGE(I44:I45)</f>
        <v>7.7390776068354858E-2</v>
      </c>
      <c r="N44" s="2">
        <f t="shared" ref="N44" si="28">AVERAGE(J44:J45)</f>
        <v>0.264264875935592</v>
      </c>
      <c r="O44" s="4"/>
      <c r="Q44" s="19"/>
    </row>
    <row r="45" spans="1:18" x14ac:dyDescent="0.2">
      <c r="B45" s="4">
        <v>100</v>
      </c>
      <c r="C45" s="4">
        <v>8</v>
      </c>
      <c r="D45" s="4">
        <v>5.0999999999999996</v>
      </c>
      <c r="E45" s="4">
        <v>3.85</v>
      </c>
      <c r="F45" s="4">
        <f t="shared" si="0"/>
        <v>5.0999999999999996</v>
      </c>
      <c r="G45" s="4">
        <f t="shared" si="1"/>
        <v>3.85</v>
      </c>
      <c r="H45" s="4">
        <f t="shared" si="2"/>
        <v>3.913065884837013E-3</v>
      </c>
      <c r="I45" s="2">
        <f t="shared" si="3"/>
        <v>8.7944063714039608E-2</v>
      </c>
      <c r="J45" s="4">
        <f t="shared" si="4"/>
        <v>0.25150735827697857</v>
      </c>
      <c r="K45" s="4">
        <f t="shared" si="5"/>
        <v>0.33945142199101819</v>
      </c>
      <c r="L45" s="10">
        <f t="shared" si="6"/>
        <v>0.34966795530963779</v>
      </c>
      <c r="M45" s="2"/>
      <c r="N45" s="2"/>
      <c r="O45" s="4"/>
      <c r="Q45" s="19"/>
    </row>
    <row r="46" spans="1:18" x14ac:dyDescent="0.2">
      <c r="A46" s="4">
        <v>500866</v>
      </c>
      <c r="B46" s="4">
        <v>100</v>
      </c>
      <c r="C46" s="4">
        <v>7</v>
      </c>
      <c r="D46" s="4">
        <v>7.65</v>
      </c>
      <c r="E46" s="4">
        <v>4.45</v>
      </c>
      <c r="F46" s="4">
        <f t="shared" si="0"/>
        <v>7.65</v>
      </c>
      <c r="G46" s="4">
        <f t="shared" si="1"/>
        <v>4.45</v>
      </c>
      <c r="H46" s="4">
        <f t="shared" si="2"/>
        <v>1.1969109850497893E-2</v>
      </c>
      <c r="I46" s="2">
        <f t="shared" si="3"/>
        <v>0.68863832276136239</v>
      </c>
      <c r="J46" s="4">
        <f t="shared" si="4"/>
        <v>0.5114732022624503</v>
      </c>
      <c r="K46" s="4">
        <f t="shared" si="5"/>
        <v>1.2001115250238126</v>
      </c>
      <c r="L46" s="10">
        <f t="shared" si="6"/>
        <v>1.3463820190681348</v>
      </c>
      <c r="M46" s="2">
        <f t="shared" ref="M46" si="29">AVERAGE(I46:I47)</f>
        <v>0.66711837517506978</v>
      </c>
      <c r="N46" s="2">
        <f t="shared" ref="N46" si="30">AVERAGE(J46:J47)</f>
        <v>0.5262509502699575</v>
      </c>
      <c r="O46" s="4"/>
      <c r="Q46" s="19"/>
    </row>
    <row r="47" spans="1:18" x14ac:dyDescent="0.2">
      <c r="B47" s="4">
        <v>100</v>
      </c>
      <c r="C47" s="4">
        <v>7</v>
      </c>
      <c r="D47" s="4">
        <v>7.4</v>
      </c>
      <c r="E47" s="4">
        <v>4.4000000000000004</v>
      </c>
      <c r="F47" s="4">
        <f t="shared" si="0"/>
        <v>7.4</v>
      </c>
      <c r="G47" s="4">
        <f t="shared" si="1"/>
        <v>4.4000000000000004</v>
      </c>
      <c r="H47" s="4">
        <f t="shared" si="2"/>
        <v>1.1969109850497893E-2</v>
      </c>
      <c r="I47" s="2">
        <f t="shared" si="3"/>
        <v>0.64559842758877717</v>
      </c>
      <c r="J47" s="4">
        <f t="shared" si="4"/>
        <v>0.54102869827746458</v>
      </c>
      <c r="K47" s="4">
        <f t="shared" si="5"/>
        <v>1.1866271258662417</v>
      </c>
      <c r="L47" s="10">
        <f t="shared" si="6"/>
        <v>1.1932794501368287</v>
      </c>
      <c r="M47" s="2"/>
      <c r="N47" s="2"/>
      <c r="O47" s="4"/>
      <c r="Q47" s="19"/>
    </row>
    <row r="48" spans="1:18" x14ac:dyDescent="0.2">
      <c r="A48" s="4">
        <v>500867</v>
      </c>
      <c r="B48" s="4">
        <v>100</v>
      </c>
      <c r="C48" s="4">
        <v>6</v>
      </c>
      <c r="D48" s="4">
        <v>2.7</v>
      </c>
      <c r="E48" s="4">
        <v>1.5</v>
      </c>
      <c r="F48" s="4">
        <f t="shared" si="0"/>
        <v>2.7</v>
      </c>
      <c r="G48" s="4">
        <f t="shared" si="1"/>
        <v>1.5</v>
      </c>
      <c r="H48" s="4">
        <f t="shared" si="2"/>
        <v>4.958061418569628E-2</v>
      </c>
      <c r="I48" s="2">
        <f t="shared" si="3"/>
        <v>1.0697258846142119</v>
      </c>
      <c r="J48" s="4">
        <f t="shared" si="4"/>
        <v>0.60599971363395089</v>
      </c>
      <c r="K48" s="4">
        <f t="shared" si="5"/>
        <v>1.6757255982481629</v>
      </c>
      <c r="L48" s="10">
        <f t="shared" si="6"/>
        <v>1.7652250661959406</v>
      </c>
      <c r="M48" s="2">
        <f t="shared" ref="M48" si="31">AVERAGE(I48:I49)</f>
        <v>1.1811556642615257</v>
      </c>
      <c r="N48" s="2">
        <f t="shared" ref="N48" si="32">AVERAGE(J48:J49)</f>
        <v>0.63421373384065061</v>
      </c>
      <c r="O48" s="4"/>
      <c r="Q48" s="19"/>
    </row>
    <row r="49" spans="1:17" x14ac:dyDescent="0.2">
      <c r="B49" s="4">
        <v>100</v>
      </c>
      <c r="C49" s="4">
        <v>6</v>
      </c>
      <c r="D49" s="4">
        <v>3.2</v>
      </c>
      <c r="E49" s="4">
        <v>1.75</v>
      </c>
      <c r="F49" s="4">
        <f t="shared" si="0"/>
        <v>3.2</v>
      </c>
      <c r="G49" s="4">
        <f t="shared" si="1"/>
        <v>1.75</v>
      </c>
      <c r="H49" s="4">
        <f t="shared" si="2"/>
        <v>4.958061418569628E-2</v>
      </c>
      <c r="I49" s="2">
        <f t="shared" si="3"/>
        <v>1.2925854439088393</v>
      </c>
      <c r="J49" s="4">
        <f t="shared" si="4"/>
        <v>0.66242775404735044</v>
      </c>
      <c r="K49" s="4">
        <f t="shared" si="5"/>
        <v>1.9550131979561898</v>
      </c>
      <c r="L49" s="10">
        <f t="shared" si="6"/>
        <v>1.9512851567756702</v>
      </c>
      <c r="M49" s="2"/>
      <c r="N49" s="2"/>
      <c r="O49" s="4"/>
      <c r="Q49" s="19"/>
    </row>
    <row r="50" spans="1:17" x14ac:dyDescent="0.2">
      <c r="A50" s="4">
        <v>500868</v>
      </c>
      <c r="B50" s="4">
        <v>100</v>
      </c>
      <c r="C50" s="4">
        <v>7</v>
      </c>
      <c r="D50" s="4">
        <v>6.25</v>
      </c>
      <c r="E50" s="4">
        <v>3.55</v>
      </c>
      <c r="F50" s="4">
        <f t="shared" ref="F50:F83" si="33">IF($C50=5,D50-$D$13,IF($C50=6,D50-$D$14,IF($C50=7,D50-$D$15,IF($C50=8,D50-$D$16,D50))))</f>
        <v>6.25</v>
      </c>
      <c r="G50" s="4">
        <f t="shared" ref="G50:G83" si="34">IF($C50=5,E50-$D$13,IF($C50=6,E50-$D$14,IF($C50=7,E50-$D$15,IF($C50=8,E50-$D$16,E50))))</f>
        <v>3.55</v>
      </c>
      <c r="H50" s="4">
        <f t="shared" ref="H50:H83" si="35">IF(C50=1, $I$7, IF(C50=2,$I$8,IF(C50=3,$I$9,IF(C50=4,$I$10,IF(C50=5,$I$11,IF(C50=6,$I$12,IF(C50=7,$I$13,IF(C50=8,$I$14))))))))</f>
        <v>1.1969109850497893E-2</v>
      </c>
      <c r="I50" s="2">
        <f t="shared" ref="I50:I83" si="36">H50*$A$9*(F50-G50)*1000/B50</f>
        <v>0.58103858482989956</v>
      </c>
      <c r="J50" s="4">
        <f t="shared" ref="J50:J83" si="37">$A$7*($A$9*G50-($A$9-1)*F50)*H50*1000/B50</f>
        <v>0.37635375535763621</v>
      </c>
      <c r="K50" s="4">
        <f t="shared" ref="K50:K83" si="38">(I50+J50)</f>
        <v>0.95739234018753572</v>
      </c>
      <c r="L50" s="10">
        <f t="shared" ref="L50:L83" si="39">(I50/J50)</f>
        <v>1.5438628592340158</v>
      </c>
      <c r="M50" s="2">
        <f t="shared" ref="M50" si="40">AVERAGE(I50:I51)</f>
        <v>0.62945846689905793</v>
      </c>
      <c r="N50" s="2">
        <f t="shared" ref="N50" si="41">AVERAGE(J50:J51)</f>
        <v>0.42232466739147445</v>
      </c>
      <c r="O50" s="4"/>
      <c r="Q50" s="19"/>
    </row>
    <row r="51" spans="1:17" x14ac:dyDescent="0.2">
      <c r="B51" s="4">
        <v>100</v>
      </c>
      <c r="C51" s="4">
        <v>7</v>
      </c>
      <c r="D51" s="4">
        <v>7.4</v>
      </c>
      <c r="E51" s="4">
        <v>4.25</v>
      </c>
      <c r="F51" s="4">
        <f t="shared" si="33"/>
        <v>7.4</v>
      </c>
      <c r="G51" s="4">
        <f t="shared" si="34"/>
        <v>4.25</v>
      </c>
      <c r="H51" s="4">
        <f t="shared" si="35"/>
        <v>1.1969109850497893E-2</v>
      </c>
      <c r="I51" s="2">
        <f t="shared" si="36"/>
        <v>0.67787834896821619</v>
      </c>
      <c r="J51" s="4">
        <f t="shared" si="37"/>
        <v>0.46829557942531275</v>
      </c>
      <c r="K51" s="4">
        <f t="shared" si="38"/>
        <v>1.1461739283935288</v>
      </c>
      <c r="L51" s="10">
        <f t="shared" si="39"/>
        <v>1.4475437709664079</v>
      </c>
      <c r="M51" s="2"/>
      <c r="N51" s="2"/>
      <c r="O51" s="4"/>
      <c r="Q51" s="19"/>
    </row>
    <row r="52" spans="1:17" x14ac:dyDescent="0.2">
      <c r="A52" s="4">
        <v>500870</v>
      </c>
      <c r="B52" s="4">
        <v>100</v>
      </c>
      <c r="C52" s="4">
        <v>8</v>
      </c>
      <c r="D52" s="4">
        <v>2.85</v>
      </c>
      <c r="E52" s="4">
        <v>1.9</v>
      </c>
      <c r="F52" s="4">
        <f t="shared" si="33"/>
        <v>2.85</v>
      </c>
      <c r="G52" s="4">
        <f t="shared" si="34"/>
        <v>1.9</v>
      </c>
      <c r="H52" s="4">
        <f t="shared" si="35"/>
        <v>3.913065884837013E-3</v>
      </c>
      <c r="I52" s="2">
        <f t="shared" si="36"/>
        <v>6.6837488422670135E-2</v>
      </c>
      <c r="J52" s="4">
        <f t="shared" si="37"/>
        <v>0.10068399255991023</v>
      </c>
      <c r="K52" s="4">
        <f t="shared" si="38"/>
        <v>0.16752148098258035</v>
      </c>
      <c r="L52" s="10">
        <f t="shared" si="39"/>
        <v>0.66383430695698398</v>
      </c>
      <c r="M52" s="2">
        <f t="shared" ref="M52" si="42">AVERAGE(I52:I53)</f>
        <v>6.3319725874108557E-2</v>
      </c>
      <c r="N52" s="2">
        <f t="shared" ref="N52" si="43">AVERAGE(J52:J53)</f>
        <v>9.758906506968576E-2</v>
      </c>
      <c r="O52" s="12"/>
      <c r="Q52" s="19"/>
    </row>
    <row r="53" spans="1:17" x14ac:dyDescent="0.2">
      <c r="B53" s="4">
        <v>100</v>
      </c>
      <c r="C53" s="4">
        <v>8</v>
      </c>
      <c r="D53" s="4">
        <v>2.6</v>
      </c>
      <c r="E53" s="4">
        <v>1.75</v>
      </c>
      <c r="F53" s="4">
        <f t="shared" si="33"/>
        <v>2.6</v>
      </c>
      <c r="G53" s="4">
        <f t="shared" si="34"/>
        <v>1.75</v>
      </c>
      <c r="H53" s="4">
        <f t="shared" si="35"/>
        <v>3.913065884837013E-3</v>
      </c>
      <c r="I53" s="2">
        <f t="shared" si="36"/>
        <v>5.9801963325546971E-2</v>
      </c>
      <c r="J53" s="4">
        <f t="shared" si="37"/>
        <v>9.449413757946129E-2</v>
      </c>
      <c r="K53" s="4">
        <f t="shared" si="38"/>
        <v>0.15429610090500825</v>
      </c>
      <c r="L53" s="10">
        <f t="shared" si="39"/>
        <v>0.63286426922790595</v>
      </c>
      <c r="M53" s="2"/>
      <c r="N53" s="2"/>
      <c r="O53" s="4"/>
      <c r="Q53" s="19"/>
    </row>
    <row r="54" spans="1:17" x14ac:dyDescent="0.2">
      <c r="A54" s="4">
        <v>500871</v>
      </c>
      <c r="B54" s="4">
        <v>100</v>
      </c>
      <c r="C54" s="4">
        <v>7</v>
      </c>
      <c r="D54" s="4">
        <v>5.75</v>
      </c>
      <c r="E54" s="4">
        <v>3.3</v>
      </c>
      <c r="F54" s="4">
        <f t="shared" si="33"/>
        <v>5.75</v>
      </c>
      <c r="G54" s="4">
        <f t="shared" si="34"/>
        <v>3.3</v>
      </c>
      <c r="H54" s="4">
        <f t="shared" si="35"/>
        <v>1.1969109850497893E-2</v>
      </c>
      <c r="I54" s="2">
        <f t="shared" si="36"/>
        <v>0.52723871586416815</v>
      </c>
      <c r="J54" s="4">
        <f t="shared" si="37"/>
        <v>0.36273162853551305</v>
      </c>
      <c r="K54" s="4">
        <f t="shared" si="38"/>
        <v>0.88997034439968115</v>
      </c>
      <c r="L54" s="10">
        <f t="shared" si="39"/>
        <v>1.4535228648045757</v>
      </c>
      <c r="M54" s="2">
        <f t="shared" ref="M54" si="44">AVERAGE(I54:I55)</f>
        <v>0.5326187027607413</v>
      </c>
      <c r="N54" s="2">
        <f t="shared" ref="N54" si="45">AVERAGE(J54:J55)</f>
        <v>0.39106263953286713</v>
      </c>
      <c r="O54" s="4"/>
      <c r="Q54" s="19"/>
    </row>
    <row r="55" spans="1:17" x14ac:dyDescent="0.2">
      <c r="B55" s="4">
        <v>100</v>
      </c>
      <c r="C55" s="4">
        <v>7</v>
      </c>
      <c r="D55" s="4">
        <v>6.05</v>
      </c>
      <c r="E55" s="4">
        <v>3.55</v>
      </c>
      <c r="F55" s="4">
        <f t="shared" si="33"/>
        <v>6.05</v>
      </c>
      <c r="G55" s="4">
        <f t="shared" si="34"/>
        <v>3.55</v>
      </c>
      <c r="H55" s="4">
        <f t="shared" si="35"/>
        <v>1.1969109850497893E-2</v>
      </c>
      <c r="I55" s="2">
        <f t="shared" si="36"/>
        <v>0.53799868965731446</v>
      </c>
      <c r="J55" s="4">
        <f t="shared" si="37"/>
        <v>0.41939365053022121</v>
      </c>
      <c r="K55" s="4">
        <f t="shared" si="38"/>
        <v>0.95739234018753572</v>
      </c>
      <c r="L55" s="10">
        <f t="shared" si="39"/>
        <v>1.2828012273842153</v>
      </c>
      <c r="M55" s="2"/>
      <c r="N55" s="2"/>
      <c r="O55" s="4"/>
      <c r="Q55" s="19"/>
    </row>
    <row r="56" spans="1:17" x14ac:dyDescent="0.2">
      <c r="A56" s="4">
        <v>500872</v>
      </c>
      <c r="B56" s="4">
        <v>100</v>
      </c>
      <c r="C56" s="4">
        <v>7</v>
      </c>
      <c r="D56" s="4">
        <v>5.8</v>
      </c>
      <c r="E56" s="4">
        <v>3.2</v>
      </c>
      <c r="F56" s="4">
        <f t="shared" si="33"/>
        <v>5.8</v>
      </c>
      <c r="G56" s="4">
        <f t="shared" si="34"/>
        <v>3.2</v>
      </c>
      <c r="H56" s="4">
        <f t="shared" si="35"/>
        <v>1.1969109850497893E-2</v>
      </c>
      <c r="I56" s="2">
        <f t="shared" si="36"/>
        <v>0.55951863724360684</v>
      </c>
      <c r="J56" s="4">
        <f t="shared" si="37"/>
        <v>0.30348290884093254</v>
      </c>
      <c r="K56" s="4">
        <f t="shared" si="38"/>
        <v>0.86300154608453938</v>
      </c>
      <c r="L56" s="10">
        <f t="shared" si="39"/>
        <v>1.8436578171091433</v>
      </c>
      <c r="M56" s="2">
        <f t="shared" ref="M56" si="46">AVERAGE(I56:I57)</f>
        <v>0.53261870276074119</v>
      </c>
      <c r="N56" s="2">
        <f t="shared" ref="N56" si="47">AVERAGE(J56:J57)</f>
        <v>0.28318744627229997</v>
      </c>
      <c r="O56" s="4"/>
      <c r="Q56" s="19"/>
    </row>
    <row r="57" spans="1:17" x14ac:dyDescent="0.2">
      <c r="B57" s="4">
        <v>100</v>
      </c>
      <c r="C57" s="4">
        <v>7</v>
      </c>
      <c r="D57" s="4">
        <v>5.2</v>
      </c>
      <c r="E57" s="4">
        <v>2.85</v>
      </c>
      <c r="F57" s="4">
        <f t="shared" si="33"/>
        <v>5.2</v>
      </c>
      <c r="G57" s="4">
        <f t="shared" si="34"/>
        <v>2.85</v>
      </c>
      <c r="H57" s="4">
        <f t="shared" si="35"/>
        <v>1.1969109850497893E-2</v>
      </c>
      <c r="I57" s="2">
        <f t="shared" si="36"/>
        <v>0.50571876827787554</v>
      </c>
      <c r="J57" s="4">
        <f t="shared" si="37"/>
        <v>0.2628919837036674</v>
      </c>
      <c r="K57" s="4">
        <f t="shared" si="38"/>
        <v>0.76861075198154294</v>
      </c>
      <c r="L57" s="10">
        <f t="shared" si="39"/>
        <v>1.9236751199227253</v>
      </c>
      <c r="M57" s="2"/>
      <c r="N57" s="2"/>
      <c r="O57" s="4"/>
      <c r="Q57" s="19"/>
    </row>
    <row r="58" spans="1:17" x14ac:dyDescent="0.2">
      <c r="A58" s="4">
        <v>500873</v>
      </c>
      <c r="B58" s="4">
        <v>100</v>
      </c>
      <c r="C58" s="4">
        <v>7</v>
      </c>
      <c r="D58" s="4">
        <v>5.85</v>
      </c>
      <c r="E58" s="4">
        <v>3.4</v>
      </c>
      <c r="F58" s="4">
        <f t="shared" si="33"/>
        <v>5.85</v>
      </c>
      <c r="G58" s="4">
        <f t="shared" si="34"/>
        <v>3.4</v>
      </c>
      <c r="H58" s="4">
        <f t="shared" si="35"/>
        <v>1.1969109850497893E-2</v>
      </c>
      <c r="I58" s="2">
        <f t="shared" si="36"/>
        <v>0.52723871586416804</v>
      </c>
      <c r="J58" s="4">
        <f t="shared" si="37"/>
        <v>0.3897004268506547</v>
      </c>
      <c r="K58" s="4">
        <f t="shared" si="38"/>
        <v>0.9169391427148228</v>
      </c>
      <c r="L58" s="10">
        <f t="shared" si="39"/>
        <v>1.3529333804559118</v>
      </c>
      <c r="M58" s="2">
        <f t="shared" ref="M58" si="48">AVERAGE(I58:I59)</f>
        <v>0.51647874207102173</v>
      </c>
      <c r="N58" s="2">
        <f t="shared" ref="N58" si="49">AVERAGE(J58:J59)</f>
        <v>0.34652280401351743</v>
      </c>
      <c r="O58" s="4"/>
      <c r="Q58" s="19"/>
    </row>
    <row r="59" spans="1:17" x14ac:dyDescent="0.2">
      <c r="B59" s="4">
        <v>100</v>
      </c>
      <c r="C59" s="4">
        <v>7</v>
      </c>
      <c r="D59" s="4">
        <v>5.35</v>
      </c>
      <c r="E59" s="4">
        <v>3</v>
      </c>
      <c r="F59" s="4">
        <f t="shared" si="33"/>
        <v>5.35</v>
      </c>
      <c r="G59" s="4">
        <f t="shared" si="34"/>
        <v>3</v>
      </c>
      <c r="H59" s="4">
        <f t="shared" si="35"/>
        <v>1.1969109850497893E-2</v>
      </c>
      <c r="I59" s="2">
        <f t="shared" si="36"/>
        <v>0.50571876827787543</v>
      </c>
      <c r="J59" s="4">
        <f t="shared" si="37"/>
        <v>0.30334518117638021</v>
      </c>
      <c r="K59" s="4">
        <f t="shared" si="38"/>
        <v>0.80906394945425564</v>
      </c>
      <c r="L59" s="10">
        <f t="shared" si="39"/>
        <v>1.6671396140749142</v>
      </c>
      <c r="M59" s="2"/>
      <c r="N59" s="2"/>
      <c r="O59" s="4"/>
      <c r="Q59" s="19"/>
    </row>
    <row r="60" spans="1:17" x14ac:dyDescent="0.2">
      <c r="A60" s="4">
        <v>500875</v>
      </c>
      <c r="B60" s="4">
        <v>100</v>
      </c>
      <c r="C60" s="4">
        <v>8</v>
      </c>
      <c r="D60" s="4">
        <v>3.4</v>
      </c>
      <c r="E60" s="4">
        <v>2.5</v>
      </c>
      <c r="F60" s="4">
        <f t="shared" si="33"/>
        <v>3.4</v>
      </c>
      <c r="G60" s="4">
        <f t="shared" si="34"/>
        <v>2.5</v>
      </c>
      <c r="H60" s="4">
        <f t="shared" si="35"/>
        <v>3.913065884837013E-3</v>
      </c>
      <c r="I60" s="2">
        <f t="shared" si="36"/>
        <v>6.3319725874108543E-2</v>
      </c>
      <c r="J60" s="4">
        <f t="shared" si="37"/>
        <v>0.1571032754187604</v>
      </c>
      <c r="K60" s="4">
        <f t="shared" si="38"/>
        <v>0.22042300129286896</v>
      </c>
      <c r="L60" s="10">
        <f t="shared" si="39"/>
        <v>0.40304523063143755</v>
      </c>
      <c r="M60" s="2">
        <f t="shared" ref="M60" si="50">AVERAGE(I60:I61)</f>
        <v>5.9801963325546964E-2</v>
      </c>
      <c r="N60" s="2">
        <f t="shared" ref="N60" si="51">AVERAGE(J60:J61)</f>
        <v>0.14519142787682116</v>
      </c>
      <c r="O60" s="12"/>
      <c r="Q60" s="19"/>
    </row>
    <row r="61" spans="1:17" x14ac:dyDescent="0.2">
      <c r="B61" s="4">
        <v>100</v>
      </c>
      <c r="C61" s="4">
        <v>8</v>
      </c>
      <c r="D61" s="4">
        <v>2.95</v>
      </c>
      <c r="E61" s="4">
        <v>2.15</v>
      </c>
      <c r="F61" s="4">
        <f t="shared" si="33"/>
        <v>2.95</v>
      </c>
      <c r="G61" s="4">
        <f t="shared" si="34"/>
        <v>2.15</v>
      </c>
      <c r="H61" s="4">
        <f t="shared" si="35"/>
        <v>3.913065884837013E-3</v>
      </c>
      <c r="I61" s="2">
        <f t="shared" si="36"/>
        <v>5.6284200776985385E-2</v>
      </c>
      <c r="J61" s="4">
        <f t="shared" si="37"/>
        <v>0.13327958033488194</v>
      </c>
      <c r="K61" s="4">
        <f t="shared" si="38"/>
        <v>0.18956378111186734</v>
      </c>
      <c r="L61" s="10">
        <f t="shared" si="39"/>
        <v>0.42230175571954948</v>
      </c>
      <c r="M61" s="2"/>
      <c r="N61" s="2"/>
      <c r="Q61" s="19"/>
    </row>
    <row r="62" spans="1:17" x14ac:dyDescent="0.2">
      <c r="A62" s="4">
        <v>500876</v>
      </c>
      <c r="B62" s="4">
        <v>100</v>
      </c>
      <c r="C62" s="4">
        <v>6</v>
      </c>
      <c r="D62" s="4">
        <v>2.25</v>
      </c>
      <c r="E62" s="4">
        <v>1.2</v>
      </c>
      <c r="F62" s="4">
        <f t="shared" si="33"/>
        <v>2.25</v>
      </c>
      <c r="G62" s="4">
        <f t="shared" si="34"/>
        <v>1.2</v>
      </c>
      <c r="H62" s="4">
        <f t="shared" si="35"/>
        <v>4.958061418569628E-2</v>
      </c>
      <c r="I62" s="2">
        <f t="shared" si="36"/>
        <v>0.93601014903743529</v>
      </c>
      <c r="J62" s="4">
        <f t="shared" si="37"/>
        <v>0.40457032956109473</v>
      </c>
      <c r="K62" s="4">
        <f t="shared" si="38"/>
        <v>1.34058047859853</v>
      </c>
      <c r="L62" s="10">
        <f t="shared" si="39"/>
        <v>2.3135906927551568</v>
      </c>
      <c r="M62" s="2">
        <f t="shared" ref="M62" si="52">AVERAGE(I62:I63)</f>
        <v>0.89143823717850967</v>
      </c>
      <c r="N62" s="2">
        <f t="shared" ref="N62" si="53">AVERAGE(J62:J63)</f>
        <v>0.39328472147841509</v>
      </c>
      <c r="O62" s="4"/>
      <c r="Q62" s="19"/>
    </row>
    <row r="63" spans="1:17" x14ac:dyDescent="0.2">
      <c r="B63" s="4">
        <v>100</v>
      </c>
      <c r="C63" s="4">
        <v>6</v>
      </c>
      <c r="D63" s="4">
        <v>2.0499999999999998</v>
      </c>
      <c r="E63" s="4">
        <v>1.1000000000000001</v>
      </c>
      <c r="F63" s="4">
        <f t="shared" si="33"/>
        <v>2.0499999999999998</v>
      </c>
      <c r="G63" s="4">
        <f t="shared" si="34"/>
        <v>1.1000000000000001</v>
      </c>
      <c r="H63" s="4">
        <f t="shared" si="35"/>
        <v>4.958061418569628E-2</v>
      </c>
      <c r="I63" s="2">
        <f t="shared" si="36"/>
        <v>0.84686632531958406</v>
      </c>
      <c r="J63" s="4">
        <f t="shared" si="37"/>
        <v>0.38199911339573545</v>
      </c>
      <c r="K63" s="4">
        <f t="shared" si="38"/>
        <v>1.2288654387153195</v>
      </c>
      <c r="L63" s="10">
        <f t="shared" si="39"/>
        <v>2.2169326985904942</v>
      </c>
      <c r="M63" s="2"/>
      <c r="N63" s="2"/>
      <c r="O63" s="4"/>
      <c r="Q63" s="19"/>
    </row>
    <row r="64" spans="1:17" x14ac:dyDescent="0.2">
      <c r="A64" s="4">
        <v>500877</v>
      </c>
      <c r="B64" s="4">
        <v>100</v>
      </c>
      <c r="C64" s="4">
        <v>6</v>
      </c>
      <c r="D64" s="4">
        <v>2.4500000000000002</v>
      </c>
      <c r="E64" s="4">
        <v>1.35</v>
      </c>
      <c r="F64" s="4">
        <f t="shared" si="33"/>
        <v>2.4500000000000002</v>
      </c>
      <c r="G64" s="4">
        <f t="shared" si="34"/>
        <v>1.35</v>
      </c>
      <c r="H64" s="4">
        <f t="shared" si="35"/>
        <v>4.958061418569628E-2</v>
      </c>
      <c r="I64" s="2">
        <f t="shared" si="36"/>
        <v>0.98058206089636091</v>
      </c>
      <c r="J64" s="4">
        <f t="shared" si="37"/>
        <v>0.5275709775269859</v>
      </c>
      <c r="K64" s="4">
        <f t="shared" si="38"/>
        <v>1.5081530384233468</v>
      </c>
      <c r="L64" s="10">
        <f t="shared" si="39"/>
        <v>1.8586732452434855</v>
      </c>
      <c r="M64" s="2">
        <f t="shared" ref="M64" si="54">AVERAGE(I64:I65)</f>
        <v>0.9805820608963608</v>
      </c>
      <c r="N64" s="2">
        <f t="shared" ref="N64" si="55">AVERAGE(J64:J65)</f>
        <v>0.4996422175561831</v>
      </c>
      <c r="O64" s="4"/>
      <c r="Q64" s="19"/>
    </row>
    <row r="65" spans="1:17" x14ac:dyDescent="0.2">
      <c r="B65" s="4">
        <v>100</v>
      </c>
      <c r="C65" s="4">
        <v>6</v>
      </c>
      <c r="D65" s="4">
        <v>2.4</v>
      </c>
      <c r="E65" s="4">
        <v>1.3</v>
      </c>
      <c r="F65" s="4">
        <f t="shared" si="33"/>
        <v>2.4</v>
      </c>
      <c r="G65" s="4">
        <f t="shared" si="34"/>
        <v>1.3</v>
      </c>
      <c r="H65" s="4">
        <f t="shared" si="35"/>
        <v>4.958061418569628E-2</v>
      </c>
      <c r="I65" s="2">
        <f t="shared" si="36"/>
        <v>0.98058206089636069</v>
      </c>
      <c r="J65" s="4">
        <f t="shared" si="37"/>
        <v>0.4717134575853803</v>
      </c>
      <c r="K65" s="4">
        <f t="shared" si="38"/>
        <v>1.452295518481741</v>
      </c>
      <c r="L65" s="10">
        <f t="shared" si="39"/>
        <v>2.0787663466626345</v>
      </c>
      <c r="M65" s="2"/>
      <c r="N65" s="2"/>
      <c r="O65" s="4"/>
      <c r="Q65" s="19"/>
    </row>
    <row r="66" spans="1:17" x14ac:dyDescent="0.2">
      <c r="A66" s="4">
        <v>500878</v>
      </c>
      <c r="B66" s="4">
        <v>100</v>
      </c>
      <c r="C66" s="4">
        <v>7</v>
      </c>
      <c r="D66" s="4">
        <v>7.3</v>
      </c>
      <c r="E66" s="4">
        <v>3.85</v>
      </c>
      <c r="F66" s="4">
        <f t="shared" si="33"/>
        <v>7.3</v>
      </c>
      <c r="G66" s="4">
        <f t="shared" si="34"/>
        <v>3.85</v>
      </c>
      <c r="H66" s="4">
        <f t="shared" si="35"/>
        <v>1.1969109850497893E-2</v>
      </c>
      <c r="I66" s="2">
        <f t="shared" si="36"/>
        <v>0.7424381917270938</v>
      </c>
      <c r="J66" s="4">
        <f t="shared" si="37"/>
        <v>0.29586054340586743</v>
      </c>
      <c r="K66" s="4">
        <f t="shared" si="38"/>
        <v>1.0382987351329613</v>
      </c>
      <c r="L66" s="10">
        <f t="shared" si="39"/>
        <v>2.5094194149052251</v>
      </c>
      <c r="M66" s="2">
        <f t="shared" ref="M66" si="56">AVERAGE(I66:I67)</f>
        <v>0.75319816552024021</v>
      </c>
      <c r="N66" s="2">
        <f t="shared" ref="N66" si="57">AVERAGE(J66:J67)</f>
        <v>0.29184276919150665</v>
      </c>
      <c r="O66" s="4"/>
      <c r="Q66" s="19"/>
    </row>
    <row r="67" spans="1:17" x14ac:dyDescent="0.2">
      <c r="B67" s="4">
        <v>100</v>
      </c>
      <c r="C67" s="4">
        <v>7</v>
      </c>
      <c r="D67" s="4">
        <v>7.45</v>
      </c>
      <c r="E67" s="4">
        <v>3.9</v>
      </c>
      <c r="F67" s="4">
        <f t="shared" si="33"/>
        <v>7.45</v>
      </c>
      <c r="G67" s="4">
        <f t="shared" si="34"/>
        <v>3.9</v>
      </c>
      <c r="H67" s="4">
        <f t="shared" si="35"/>
        <v>1.1969109850497893E-2</v>
      </c>
      <c r="I67" s="2">
        <f t="shared" si="36"/>
        <v>0.76395813931338652</v>
      </c>
      <c r="J67" s="4">
        <f t="shared" si="37"/>
        <v>0.28782499497714586</v>
      </c>
      <c r="K67" s="4">
        <f t="shared" si="38"/>
        <v>1.0517831342905324</v>
      </c>
      <c r="L67" s="10">
        <f t="shared" si="39"/>
        <v>2.6542452971259394</v>
      </c>
      <c r="M67" s="2"/>
      <c r="N67" s="2"/>
      <c r="O67" s="4"/>
      <c r="Q67" s="19"/>
    </row>
    <row r="68" spans="1:17" x14ac:dyDescent="0.2">
      <c r="A68" s="4">
        <v>500880</v>
      </c>
      <c r="B68" s="4">
        <v>100</v>
      </c>
      <c r="C68" s="4">
        <v>8</v>
      </c>
      <c r="D68" s="4">
        <v>3.55</v>
      </c>
      <c r="E68" s="4">
        <v>2.4500000000000002</v>
      </c>
      <c r="F68" s="4">
        <f t="shared" si="33"/>
        <v>3.55</v>
      </c>
      <c r="G68" s="4">
        <f t="shared" si="34"/>
        <v>2.4500000000000002</v>
      </c>
      <c r="H68" s="4">
        <f t="shared" si="35"/>
        <v>3.913065884837013E-3</v>
      </c>
      <c r="I68" s="2">
        <f t="shared" si="36"/>
        <v>7.7390776068354858E-2</v>
      </c>
      <c r="J68" s="4">
        <f t="shared" si="37"/>
        <v>0.13862376519865671</v>
      </c>
      <c r="K68" s="4">
        <f t="shared" si="38"/>
        <v>0.21601454126701158</v>
      </c>
      <c r="L68" s="10">
        <f t="shared" si="39"/>
        <v>0.55827928174832742</v>
      </c>
      <c r="M68" s="2">
        <f t="shared" ref="M68" si="58">AVERAGE(I68:I69)</f>
        <v>8.0908538616916464E-2</v>
      </c>
      <c r="N68" s="2">
        <f t="shared" ref="N68" si="59">AVERAGE(J68:J69)</f>
        <v>0.13951446267595247</v>
      </c>
      <c r="O68" s="12"/>
      <c r="Q68" s="19"/>
    </row>
    <row r="69" spans="1:17" x14ac:dyDescent="0.2">
      <c r="B69" s="4">
        <v>100</v>
      </c>
      <c r="C69" s="4">
        <v>8</v>
      </c>
      <c r="D69" s="4">
        <v>3.75</v>
      </c>
      <c r="E69" s="4">
        <v>2.5499999999999998</v>
      </c>
      <c r="F69" s="4">
        <f t="shared" si="33"/>
        <v>3.75</v>
      </c>
      <c r="G69" s="4">
        <f t="shared" si="34"/>
        <v>2.5499999999999998</v>
      </c>
      <c r="H69" s="4">
        <f t="shared" si="35"/>
        <v>3.913065884837013E-3</v>
      </c>
      <c r="I69" s="2">
        <f t="shared" si="36"/>
        <v>8.4426301165478071E-2</v>
      </c>
      <c r="J69" s="4">
        <f t="shared" si="37"/>
        <v>0.14040516015324825</v>
      </c>
      <c r="K69" s="4">
        <f t="shared" si="38"/>
        <v>0.22483146131872633</v>
      </c>
      <c r="L69" s="10">
        <f t="shared" si="39"/>
        <v>0.60130483148432123</v>
      </c>
      <c r="M69" s="2"/>
      <c r="N69" s="2"/>
    </row>
    <row r="70" spans="1:17" x14ac:dyDescent="0.2">
      <c r="A70" s="4">
        <v>500881</v>
      </c>
      <c r="B70" s="4">
        <v>100</v>
      </c>
      <c r="C70" s="4">
        <v>6</v>
      </c>
      <c r="D70" s="4">
        <v>2.35</v>
      </c>
      <c r="E70" s="4">
        <v>1.25</v>
      </c>
      <c r="F70" s="4">
        <f t="shared" si="33"/>
        <v>2.35</v>
      </c>
      <c r="G70" s="4">
        <f t="shared" si="34"/>
        <v>1.25</v>
      </c>
      <c r="H70" s="4">
        <f t="shared" si="35"/>
        <v>4.958061418569628E-2</v>
      </c>
      <c r="I70" s="2">
        <f t="shared" si="36"/>
        <v>0.98058206089636091</v>
      </c>
      <c r="J70" s="4">
        <f t="shared" si="37"/>
        <v>0.41585593764377471</v>
      </c>
      <c r="K70" s="4">
        <f t="shared" si="38"/>
        <v>1.3964379985401356</v>
      </c>
      <c r="L70" s="10">
        <f t="shared" si="39"/>
        <v>2.3579849946409444</v>
      </c>
      <c r="M70" s="2">
        <f t="shared" ref="M70" si="60">AVERAGE(I70:I71)</f>
        <v>1.0251539727552861</v>
      </c>
      <c r="N70" s="2">
        <f t="shared" ref="N70" si="61">AVERAGE(J70:J71)</f>
        <v>0.42714154572645491</v>
      </c>
    </row>
    <row r="71" spans="1:17" x14ac:dyDescent="0.2">
      <c r="B71" s="4">
        <v>100</v>
      </c>
      <c r="C71" s="4">
        <v>6</v>
      </c>
      <c r="D71" s="4">
        <v>2.5499999999999998</v>
      </c>
      <c r="E71" s="4">
        <v>1.35</v>
      </c>
      <c r="F71" s="4">
        <f t="shared" si="33"/>
        <v>2.5499999999999998</v>
      </c>
      <c r="G71" s="4">
        <f t="shared" si="34"/>
        <v>1.35</v>
      </c>
      <c r="H71" s="4">
        <f t="shared" si="35"/>
        <v>4.958061418569628E-2</v>
      </c>
      <c r="I71" s="2">
        <f t="shared" si="36"/>
        <v>1.0697258846142115</v>
      </c>
      <c r="J71" s="4">
        <f t="shared" si="37"/>
        <v>0.43842715380913511</v>
      </c>
      <c r="K71" s="4">
        <f t="shared" si="38"/>
        <v>1.5081530384233466</v>
      </c>
      <c r="L71" s="10">
        <f t="shared" si="39"/>
        <v>2.4399170428205412</v>
      </c>
      <c r="M71" s="2"/>
      <c r="N71" s="2"/>
    </row>
    <row r="72" spans="1:17" x14ac:dyDescent="0.2">
      <c r="A72" s="4">
        <v>500882</v>
      </c>
      <c r="B72" s="4">
        <v>100</v>
      </c>
      <c r="C72" s="4">
        <v>6</v>
      </c>
      <c r="D72" s="4">
        <v>3</v>
      </c>
      <c r="E72" s="4">
        <v>1.45</v>
      </c>
      <c r="F72" s="4">
        <f t="shared" si="33"/>
        <v>3</v>
      </c>
      <c r="G72" s="4">
        <f t="shared" si="34"/>
        <v>1.45</v>
      </c>
      <c r="H72" s="4">
        <f t="shared" si="35"/>
        <v>4.958061418569628E-2</v>
      </c>
      <c r="I72" s="2">
        <f t="shared" si="36"/>
        <v>1.3817292676266906</v>
      </c>
      <c r="J72" s="4">
        <f t="shared" si="37"/>
        <v>0.23813881067986678</v>
      </c>
      <c r="K72" s="4">
        <f t="shared" si="38"/>
        <v>1.6198680783065573</v>
      </c>
      <c r="L72" s="10">
        <f t="shared" si="39"/>
        <v>5.8022010930598285</v>
      </c>
      <c r="M72" s="2">
        <f t="shared" ref="M72" si="62">AVERAGE(I72:I73)</f>
        <v>1.270299487979377</v>
      </c>
      <c r="N72" s="2">
        <f t="shared" ref="N72" si="63">AVERAGE(J72:J73)</f>
        <v>0.32163983035637778</v>
      </c>
    </row>
    <row r="73" spans="1:17" x14ac:dyDescent="0.2">
      <c r="B73" s="4">
        <v>100</v>
      </c>
      <c r="C73" s="4">
        <v>6</v>
      </c>
      <c r="D73" s="4">
        <v>2.7</v>
      </c>
      <c r="E73" s="4">
        <v>1.4</v>
      </c>
      <c r="F73" s="4">
        <f t="shared" si="33"/>
        <v>2.7</v>
      </c>
      <c r="G73" s="4">
        <f t="shared" si="34"/>
        <v>1.4</v>
      </c>
      <c r="H73" s="4">
        <f t="shared" si="35"/>
        <v>4.958061418569628E-2</v>
      </c>
      <c r="I73" s="2">
        <f t="shared" si="36"/>
        <v>1.1588697083320632</v>
      </c>
      <c r="J73" s="4">
        <f t="shared" si="37"/>
        <v>0.40514085003288874</v>
      </c>
      <c r="K73" s="4">
        <f t="shared" si="38"/>
        <v>1.564010558364952</v>
      </c>
      <c r="L73" s="10">
        <f t="shared" si="39"/>
        <v>2.860411899313505</v>
      </c>
      <c r="M73" s="2"/>
      <c r="N73" s="2"/>
    </row>
    <row r="74" spans="1:17" x14ac:dyDescent="0.2">
      <c r="A74" s="4">
        <v>500883</v>
      </c>
      <c r="B74" s="4">
        <v>100</v>
      </c>
      <c r="C74" s="4">
        <v>6</v>
      </c>
      <c r="D74" s="4">
        <v>2.15</v>
      </c>
      <c r="E74" s="4">
        <v>1.1499999999999999</v>
      </c>
      <c r="F74" s="4">
        <f t="shared" si="33"/>
        <v>2.15</v>
      </c>
      <c r="G74" s="4">
        <f t="shared" si="34"/>
        <v>1.1499999999999999</v>
      </c>
      <c r="H74" s="4">
        <f t="shared" si="35"/>
        <v>4.958061418569628E-2</v>
      </c>
      <c r="I74" s="2">
        <f t="shared" si="36"/>
        <v>0.89143823717850978</v>
      </c>
      <c r="J74" s="4">
        <f t="shared" si="37"/>
        <v>0.39328472147841459</v>
      </c>
      <c r="K74" s="4">
        <f t="shared" si="38"/>
        <v>1.2847229586569244</v>
      </c>
      <c r="L74" s="10">
        <f t="shared" si="39"/>
        <v>2.266648533478401</v>
      </c>
      <c r="M74" s="2">
        <f t="shared" ref="M74" si="64">AVERAGE(I74:I75)</f>
        <v>0.9582961049668981</v>
      </c>
      <c r="N74" s="2">
        <f t="shared" ref="N74" si="65">AVERAGE(J74:J75)</f>
        <v>0.38228437363163192</v>
      </c>
    </row>
    <row r="75" spans="1:17" x14ac:dyDescent="0.2">
      <c r="B75" s="4">
        <v>100</v>
      </c>
      <c r="C75" s="4">
        <v>6</v>
      </c>
      <c r="D75" s="4">
        <v>2.4</v>
      </c>
      <c r="E75" s="4">
        <v>1.25</v>
      </c>
      <c r="F75" s="4">
        <f t="shared" si="33"/>
        <v>2.4</v>
      </c>
      <c r="G75" s="4">
        <f t="shared" si="34"/>
        <v>1.25</v>
      </c>
      <c r="H75" s="4">
        <f t="shared" si="35"/>
        <v>4.958061418569628E-2</v>
      </c>
      <c r="I75" s="2">
        <f t="shared" si="36"/>
        <v>1.0251539727552863</v>
      </c>
      <c r="J75" s="4">
        <f t="shared" si="37"/>
        <v>0.37128402578484931</v>
      </c>
      <c r="K75" s="4">
        <f t="shared" si="38"/>
        <v>1.3964379985401356</v>
      </c>
      <c r="L75" s="10">
        <f t="shared" si="39"/>
        <v>2.7611044417767108</v>
      </c>
      <c r="M75" s="2"/>
      <c r="N75" s="2"/>
    </row>
    <row r="76" spans="1:17" x14ac:dyDescent="0.2">
      <c r="A76" s="4">
        <v>500885</v>
      </c>
      <c r="B76" s="4">
        <v>100</v>
      </c>
      <c r="C76" s="4">
        <v>7</v>
      </c>
      <c r="D76" s="4">
        <v>6.25</v>
      </c>
      <c r="E76" s="4">
        <v>3.35</v>
      </c>
      <c r="F76" s="4">
        <f t="shared" si="33"/>
        <v>6.25</v>
      </c>
      <c r="G76" s="4">
        <f t="shared" si="34"/>
        <v>3.35</v>
      </c>
      <c r="H76" s="4">
        <f t="shared" si="35"/>
        <v>1.1969109850497893E-2</v>
      </c>
      <c r="I76" s="2">
        <f t="shared" si="36"/>
        <v>0.62407848000248467</v>
      </c>
      <c r="J76" s="4">
        <f t="shared" si="37"/>
        <v>0.27937626355476747</v>
      </c>
      <c r="K76" s="4">
        <f t="shared" si="38"/>
        <v>0.90345474355725219</v>
      </c>
      <c r="L76" s="10">
        <f t="shared" si="39"/>
        <v>2.2338278566036571</v>
      </c>
      <c r="M76" s="2">
        <f t="shared" ref="M76" si="66">AVERAGE(I76:I77)</f>
        <v>0.67787834896821608</v>
      </c>
      <c r="N76" s="2">
        <f t="shared" ref="N76" si="67">AVERAGE(J76:J77)</f>
        <v>0.29299839037689057</v>
      </c>
      <c r="O76" s="11"/>
    </row>
    <row r="77" spans="1:17" x14ac:dyDescent="0.2">
      <c r="B77" s="4">
        <v>100</v>
      </c>
      <c r="C77" s="4">
        <v>7</v>
      </c>
      <c r="D77" s="4">
        <v>7.25</v>
      </c>
      <c r="E77" s="4">
        <v>3.85</v>
      </c>
      <c r="F77" s="4">
        <f t="shared" si="33"/>
        <v>7.25</v>
      </c>
      <c r="G77" s="4">
        <f t="shared" si="34"/>
        <v>3.85</v>
      </c>
      <c r="H77" s="4">
        <f t="shared" si="35"/>
        <v>1.1969109850497893E-2</v>
      </c>
      <c r="I77" s="2">
        <f t="shared" si="36"/>
        <v>0.73167821793394749</v>
      </c>
      <c r="J77" s="4">
        <f t="shared" si="37"/>
        <v>0.30662051719901373</v>
      </c>
      <c r="K77" s="4">
        <f t="shared" si="38"/>
        <v>1.0382987351329613</v>
      </c>
      <c r="L77" s="10">
        <f t="shared" si="39"/>
        <v>2.3862663353967526</v>
      </c>
      <c r="M77" s="2"/>
      <c r="N77" s="2"/>
    </row>
    <row r="78" spans="1:17" x14ac:dyDescent="0.2">
      <c r="A78" s="4">
        <v>500886</v>
      </c>
      <c r="B78" s="4">
        <v>100</v>
      </c>
      <c r="C78" s="4">
        <v>6</v>
      </c>
      <c r="D78" s="4">
        <v>4.4000000000000004</v>
      </c>
      <c r="E78" s="4">
        <v>2.0499999999999998</v>
      </c>
      <c r="F78" s="4">
        <f t="shared" si="33"/>
        <v>4.4000000000000004</v>
      </c>
      <c r="G78" s="4">
        <f t="shared" si="34"/>
        <v>2.0499999999999998</v>
      </c>
      <c r="H78" s="4">
        <f t="shared" si="35"/>
        <v>4.958061418569628E-2</v>
      </c>
      <c r="I78" s="2">
        <f t="shared" si="36"/>
        <v>2.0948798573694982</v>
      </c>
      <c r="J78" s="4">
        <f t="shared" si="37"/>
        <v>0.19527846023632367</v>
      </c>
      <c r="K78" s="4">
        <f t="shared" si="38"/>
        <v>2.290158317605822</v>
      </c>
      <c r="L78" s="10">
        <f t="shared" si="39"/>
        <v>10.727654523874776</v>
      </c>
      <c r="M78" s="2">
        <f t="shared" ref="M78" si="68">AVERAGE(I78:I79)</f>
        <v>2.1171658132989606</v>
      </c>
      <c r="N78" s="2">
        <f t="shared" ref="N78" si="69">AVERAGE(J78:J79)</f>
        <v>0.22885002424846676</v>
      </c>
    </row>
    <row r="79" spans="1:17" x14ac:dyDescent="0.2">
      <c r="B79" s="4">
        <v>100</v>
      </c>
      <c r="C79" s="4">
        <v>6</v>
      </c>
      <c r="D79" s="4">
        <v>4.55</v>
      </c>
      <c r="E79" s="4">
        <v>2.15</v>
      </c>
      <c r="F79" s="4">
        <f t="shared" si="33"/>
        <v>4.55</v>
      </c>
      <c r="G79" s="4">
        <f t="shared" si="34"/>
        <v>2.15</v>
      </c>
      <c r="H79" s="4">
        <f t="shared" si="35"/>
        <v>4.958061418569628E-2</v>
      </c>
      <c r="I79" s="2">
        <f t="shared" si="36"/>
        <v>2.1394517692284234</v>
      </c>
      <c r="J79" s="4">
        <f t="shared" si="37"/>
        <v>0.26242158826060985</v>
      </c>
      <c r="K79" s="4">
        <f t="shared" si="38"/>
        <v>2.4018733574890332</v>
      </c>
      <c r="L79" s="10">
        <f t="shared" si="39"/>
        <v>8.1527277668319815</v>
      </c>
      <c r="M79" s="2"/>
      <c r="N79" s="2"/>
    </row>
    <row r="80" spans="1:17" x14ac:dyDescent="0.2">
      <c r="A80" s="4">
        <v>500887</v>
      </c>
      <c r="B80" s="4">
        <v>100</v>
      </c>
      <c r="C80" s="4">
        <v>6</v>
      </c>
      <c r="D80" s="4">
        <v>5.4</v>
      </c>
      <c r="E80" s="4">
        <v>2.5</v>
      </c>
      <c r="F80" s="4">
        <f t="shared" si="33"/>
        <v>5.4</v>
      </c>
      <c r="G80" s="4">
        <f t="shared" si="34"/>
        <v>2.5</v>
      </c>
      <c r="H80" s="4">
        <f t="shared" si="35"/>
        <v>4.958061418569628E-2</v>
      </c>
      <c r="I80" s="2">
        <f t="shared" si="36"/>
        <v>2.5851708878176787</v>
      </c>
      <c r="J80" s="4">
        <f t="shared" si="37"/>
        <v>0.20770510926259206</v>
      </c>
      <c r="K80" s="4">
        <f t="shared" si="38"/>
        <v>2.7928759970802708</v>
      </c>
      <c r="L80" s="10">
        <f t="shared" si="39"/>
        <v>12.446351931330517</v>
      </c>
      <c r="M80" s="2">
        <f t="shared" ref="M80" si="70">AVERAGE(I80:I81)</f>
        <v>2.5183130200292903</v>
      </c>
      <c r="N80" s="2">
        <f t="shared" ref="N80" si="71">AVERAGE(J80:J81)</f>
        <v>0.27456297705098054</v>
      </c>
    </row>
    <row r="81" spans="1:15" x14ac:dyDescent="0.2">
      <c r="B81" s="4">
        <v>100</v>
      </c>
      <c r="C81" s="4">
        <v>6</v>
      </c>
      <c r="D81" s="4">
        <v>5.25</v>
      </c>
      <c r="E81" s="4">
        <v>2.5</v>
      </c>
      <c r="F81" s="4">
        <f t="shared" si="33"/>
        <v>5.25</v>
      </c>
      <c r="G81" s="4">
        <f t="shared" si="34"/>
        <v>2.5</v>
      </c>
      <c r="H81" s="4">
        <f t="shared" si="35"/>
        <v>4.958061418569628E-2</v>
      </c>
      <c r="I81" s="2">
        <f t="shared" si="36"/>
        <v>2.4514551522409018</v>
      </c>
      <c r="J81" s="4">
        <f t="shared" si="37"/>
        <v>0.34142084483936908</v>
      </c>
      <c r="K81" s="4">
        <f t="shared" si="38"/>
        <v>2.7928759970802708</v>
      </c>
      <c r="L81" s="10">
        <f t="shared" si="39"/>
        <v>7.1801566579634502</v>
      </c>
      <c r="M81" s="2"/>
      <c r="N81" s="2"/>
    </row>
    <row r="82" spans="1:15" x14ac:dyDescent="0.2">
      <c r="A82" s="4">
        <v>500888</v>
      </c>
      <c r="B82" s="4">
        <v>100</v>
      </c>
      <c r="C82" s="4">
        <v>6</v>
      </c>
      <c r="D82" s="4">
        <v>3.2</v>
      </c>
      <c r="E82" s="4">
        <v>1.55</v>
      </c>
      <c r="F82" s="4">
        <f t="shared" si="33"/>
        <v>3.2</v>
      </c>
      <c r="G82" s="4">
        <f t="shared" si="34"/>
        <v>1.55</v>
      </c>
      <c r="H82" s="4">
        <f t="shared" si="35"/>
        <v>4.958061418569628E-2</v>
      </c>
      <c r="I82" s="2">
        <f t="shared" si="36"/>
        <v>1.4708730913445414</v>
      </c>
      <c r="J82" s="4">
        <f t="shared" si="37"/>
        <v>0.26071002684522709</v>
      </c>
      <c r="K82" s="4">
        <f t="shared" si="38"/>
        <v>1.7315831181897685</v>
      </c>
      <c r="L82" s="10">
        <f t="shared" si="39"/>
        <v>5.6417971688436008</v>
      </c>
      <c r="M82" s="2">
        <f t="shared" ref="M82" si="72">AVERAGE(I82:I83)</f>
        <v>1.6268747828507806</v>
      </c>
      <c r="N82" s="2">
        <f t="shared" ref="N82" si="73">AVERAGE(J82:J83)</f>
        <v>0.18849461525139577</v>
      </c>
    </row>
    <row r="83" spans="1:15" x14ac:dyDescent="0.2">
      <c r="B83" s="4">
        <v>100</v>
      </c>
      <c r="C83" s="4">
        <v>6</v>
      </c>
      <c r="D83" s="4">
        <v>3.7</v>
      </c>
      <c r="E83" s="4">
        <v>1.7</v>
      </c>
      <c r="F83" s="4">
        <f t="shared" si="33"/>
        <v>3.7</v>
      </c>
      <c r="G83" s="4">
        <f t="shared" si="34"/>
        <v>1.7</v>
      </c>
      <c r="H83" s="4">
        <f t="shared" si="35"/>
        <v>4.958061418569628E-2</v>
      </c>
      <c r="I83" s="2">
        <f t="shared" si="36"/>
        <v>1.7828764743570196</v>
      </c>
      <c r="J83" s="4">
        <f t="shared" si="37"/>
        <v>0.11627920365756442</v>
      </c>
      <c r="K83" s="4">
        <f t="shared" si="38"/>
        <v>1.899155678014584</v>
      </c>
      <c r="L83" s="10">
        <f t="shared" si="39"/>
        <v>15.332720024532405</v>
      </c>
      <c r="M83" s="2"/>
      <c r="N83" s="2"/>
    </row>
    <row r="84" spans="1:15" x14ac:dyDescent="0.2">
      <c r="B84" s="4"/>
      <c r="C84" s="4"/>
      <c r="D84" s="4"/>
      <c r="E84" s="4"/>
      <c r="F84" s="4"/>
      <c r="G84" s="4"/>
      <c r="H84" s="4"/>
      <c r="I84" s="2"/>
      <c r="J84" s="4"/>
      <c r="K84" s="4"/>
      <c r="L84" s="10"/>
      <c r="M84" s="2"/>
      <c r="N84" s="2"/>
      <c r="O84" s="11"/>
    </row>
    <row r="85" spans="1:15" x14ac:dyDescent="0.2">
      <c r="B85" s="4"/>
      <c r="C85" s="4"/>
      <c r="D85" s="4"/>
      <c r="E85" s="4"/>
      <c r="F85" s="4"/>
      <c r="G85" s="4"/>
      <c r="H85" s="4"/>
      <c r="I85" s="2"/>
      <c r="J85" s="4"/>
      <c r="K85" s="4"/>
      <c r="L85" s="10"/>
      <c r="M85" s="2"/>
      <c r="N85" s="2"/>
    </row>
    <row r="86" spans="1:15" x14ac:dyDescent="0.2">
      <c r="B86" s="4"/>
      <c r="C86" s="4"/>
      <c r="D86" s="4"/>
      <c r="E86" s="4"/>
      <c r="F86" s="4"/>
      <c r="G86" s="4"/>
      <c r="H86" s="4"/>
      <c r="I86" s="2"/>
      <c r="J86" s="4"/>
      <c r="K86" s="4"/>
      <c r="L86" s="10"/>
      <c r="M86" s="2"/>
      <c r="N86" s="2"/>
    </row>
    <row r="87" spans="1:15" x14ac:dyDescent="0.2">
      <c r="B87" s="4"/>
      <c r="C87" s="4"/>
      <c r="D87" s="4"/>
      <c r="E87" s="4"/>
      <c r="F87" s="4"/>
      <c r="G87" s="4"/>
      <c r="H87" s="4"/>
      <c r="I87" s="2"/>
      <c r="J87" s="4"/>
      <c r="K87" s="4"/>
      <c r="L87" s="10"/>
      <c r="M87" s="2"/>
      <c r="N87" s="2"/>
    </row>
    <row r="88" spans="1:15" x14ac:dyDescent="0.2">
      <c r="B88" s="4"/>
      <c r="C88" s="4"/>
      <c r="D88" s="4"/>
      <c r="E88" s="4"/>
      <c r="F88" s="4"/>
      <c r="G88" s="4"/>
      <c r="H88" s="4"/>
      <c r="I88" s="2"/>
      <c r="J88" s="4"/>
      <c r="K88" s="4"/>
      <c r="L88" s="10"/>
      <c r="M88" s="2"/>
      <c r="N88" s="2"/>
    </row>
    <row r="89" spans="1:15" x14ac:dyDescent="0.2">
      <c r="B89" s="4"/>
      <c r="C89" s="4"/>
      <c r="D89" s="4"/>
      <c r="E89" s="4"/>
      <c r="F89" s="4"/>
      <c r="G89" s="4"/>
      <c r="H89" s="4"/>
      <c r="I89" s="2"/>
      <c r="J89" s="4"/>
      <c r="K89" s="4"/>
      <c r="L89" s="10"/>
      <c r="M89" s="2"/>
      <c r="N89" s="2"/>
    </row>
    <row r="90" spans="1:15" x14ac:dyDescent="0.2">
      <c r="B90" s="4"/>
      <c r="C90" s="4"/>
      <c r="D90" s="4"/>
      <c r="E90" s="4"/>
      <c r="F90" s="4"/>
      <c r="G90" s="4"/>
      <c r="H90" s="4"/>
      <c r="I90" s="2"/>
      <c r="J90" s="4"/>
      <c r="K90" s="4"/>
      <c r="L90" s="10"/>
      <c r="M90" s="2"/>
      <c r="N90" s="2"/>
    </row>
    <row r="91" spans="1:15" x14ac:dyDescent="0.2">
      <c r="B91" s="4"/>
      <c r="C91" s="4"/>
      <c r="D91" s="4"/>
      <c r="E91" s="4"/>
      <c r="F91" s="4"/>
      <c r="G91" s="4"/>
      <c r="H91" s="4"/>
      <c r="I91" s="2"/>
      <c r="J91" s="4"/>
      <c r="K91" s="4"/>
      <c r="L91" s="10"/>
      <c r="M91" s="2"/>
      <c r="N91" s="2"/>
    </row>
    <row r="92" spans="1:15" x14ac:dyDescent="0.2">
      <c r="B92" s="4"/>
      <c r="C92" s="4"/>
      <c r="D92" s="4"/>
      <c r="E92" s="4"/>
      <c r="F92" s="4"/>
      <c r="G92" s="4"/>
      <c r="H92" s="4"/>
      <c r="I92" s="2"/>
      <c r="J92" s="4"/>
      <c r="K92" s="4"/>
      <c r="L92" s="10"/>
      <c r="M92" s="2"/>
      <c r="N92" s="2"/>
      <c r="O92" s="11"/>
    </row>
    <row r="93" spans="1:15" x14ac:dyDescent="0.2">
      <c r="B93" s="4"/>
      <c r="C93" s="4"/>
      <c r="D93" s="4"/>
      <c r="E93" s="4"/>
      <c r="F93" s="4"/>
      <c r="G93" s="4"/>
      <c r="H93" s="4"/>
      <c r="I93" s="2"/>
      <c r="J93" s="4"/>
      <c r="K93" s="4"/>
      <c r="L93" s="10"/>
      <c r="M93" s="2"/>
      <c r="N93" s="2"/>
    </row>
    <row r="94" spans="1:15" x14ac:dyDescent="0.2">
      <c r="B94" s="4"/>
      <c r="C94" s="4"/>
      <c r="D94" s="4"/>
      <c r="E94" s="4"/>
      <c r="F94" s="4"/>
      <c r="G94" s="4"/>
      <c r="H94" s="4"/>
      <c r="I94" s="2"/>
      <c r="J94" s="4"/>
      <c r="K94" s="4"/>
      <c r="L94" s="10"/>
      <c r="M94" s="2"/>
      <c r="N94" s="2"/>
    </row>
    <row r="95" spans="1:15" x14ac:dyDescent="0.2">
      <c r="B95" s="4"/>
      <c r="C95" s="4"/>
      <c r="D95" s="4"/>
      <c r="E95" s="4"/>
      <c r="F95" s="4"/>
      <c r="G95" s="4"/>
      <c r="H95" s="4"/>
      <c r="I95" s="2"/>
      <c r="J95" s="4"/>
      <c r="K95" s="4"/>
      <c r="L95" s="10"/>
      <c r="M95" s="2"/>
      <c r="N95" s="2"/>
    </row>
    <row r="96" spans="1:15" x14ac:dyDescent="0.2">
      <c r="B96" s="4"/>
      <c r="C96" s="4"/>
      <c r="D96" s="4"/>
      <c r="E96" s="4"/>
      <c r="F96" s="4"/>
      <c r="G96" s="4"/>
      <c r="H96" s="4"/>
      <c r="I96" s="2"/>
      <c r="J96" s="4"/>
      <c r="K96" s="4"/>
      <c r="L96" s="10"/>
      <c r="M96" s="2"/>
      <c r="N96" s="2"/>
    </row>
    <row r="97" spans="2:14" x14ac:dyDescent="0.2">
      <c r="B97" s="4"/>
      <c r="C97" s="4"/>
      <c r="D97" s="4"/>
      <c r="E97" s="4"/>
      <c r="F97" s="4"/>
      <c r="G97" s="4"/>
      <c r="H97" s="4"/>
      <c r="I97" s="2"/>
      <c r="J97" s="4"/>
      <c r="K97" s="4"/>
      <c r="L97" s="10"/>
      <c r="M97" s="2"/>
      <c r="N97" s="2"/>
    </row>
    <row r="98" spans="2:14" x14ac:dyDescent="0.2">
      <c r="B98" s="4"/>
      <c r="C98" s="4"/>
      <c r="D98" s="4"/>
      <c r="E98" s="4"/>
      <c r="F98" s="4"/>
      <c r="G98" s="4"/>
      <c r="H98" s="4"/>
      <c r="I98" s="2"/>
      <c r="J98" s="4"/>
      <c r="K98" s="4"/>
      <c r="L98" s="10"/>
      <c r="M98" s="2"/>
      <c r="N98" s="2"/>
    </row>
    <row r="99" spans="2:14" x14ac:dyDescent="0.2">
      <c r="B99" s="4"/>
      <c r="C99" s="4"/>
      <c r="D99" s="4"/>
      <c r="E99" s="4"/>
      <c r="F99" s="4"/>
      <c r="G99" s="4"/>
      <c r="H99" s="4"/>
      <c r="I99" s="2"/>
      <c r="J99" s="4"/>
      <c r="K99" s="4"/>
      <c r="L99" s="10"/>
      <c r="M99" s="2"/>
      <c r="N99" s="2"/>
    </row>
    <row r="100" spans="2:14" x14ac:dyDescent="0.2">
      <c r="B100" s="4"/>
      <c r="C100" s="4"/>
      <c r="D100" s="4"/>
      <c r="E100" s="4"/>
      <c r="F100" s="4"/>
      <c r="G100" s="4"/>
      <c r="H100" s="4"/>
      <c r="I100" s="2"/>
      <c r="J100" s="4"/>
      <c r="K100" s="4"/>
      <c r="L100" s="10"/>
      <c r="M100" s="2"/>
      <c r="N100" s="2"/>
    </row>
    <row r="101" spans="2:14" x14ac:dyDescent="0.2">
      <c r="B101" s="4"/>
      <c r="C101" s="4"/>
      <c r="D101" s="4"/>
      <c r="E101" s="4"/>
      <c r="F101" s="4"/>
      <c r="G101" s="4"/>
      <c r="H101" s="4"/>
      <c r="I101" s="2"/>
      <c r="J101" s="4"/>
      <c r="K101" s="4"/>
      <c r="L101" s="10"/>
      <c r="M101" s="2"/>
      <c r="N101" s="2"/>
    </row>
    <row r="102" spans="2:14" x14ac:dyDescent="0.2">
      <c r="B102" s="4"/>
      <c r="C102" s="4"/>
      <c r="D102" s="4"/>
      <c r="E102" s="4"/>
      <c r="F102" s="4"/>
      <c r="G102" s="4"/>
      <c r="H102" s="4"/>
      <c r="I102" s="2"/>
      <c r="J102" s="4"/>
      <c r="K102" s="4"/>
      <c r="L102" s="10"/>
      <c r="M102" s="2"/>
      <c r="N102" s="2"/>
    </row>
    <row r="103" spans="2:14" x14ac:dyDescent="0.2">
      <c r="B103" s="4"/>
      <c r="C103" s="4"/>
      <c r="D103" s="4"/>
      <c r="E103" s="4"/>
      <c r="F103" s="4"/>
      <c r="G103" s="4"/>
      <c r="H103" s="4"/>
      <c r="I103" s="2"/>
      <c r="J103" s="4"/>
      <c r="K103" s="4"/>
      <c r="L103" s="10"/>
      <c r="M103" s="2"/>
      <c r="N103" s="2"/>
    </row>
    <row r="104" spans="2:14" x14ac:dyDescent="0.2">
      <c r="B104" s="4"/>
      <c r="C104" s="4"/>
      <c r="D104" s="4"/>
      <c r="E104" s="4"/>
      <c r="F104" s="4"/>
      <c r="G104" s="4"/>
      <c r="H104" s="4"/>
      <c r="I104" s="2"/>
      <c r="J104" s="4"/>
      <c r="K104" s="4"/>
      <c r="L104" s="10"/>
      <c r="M104" s="2"/>
      <c r="N104" s="2"/>
    </row>
    <row r="105" spans="2:14" x14ac:dyDescent="0.2">
      <c r="B105" s="4"/>
      <c r="C105" s="4"/>
      <c r="D105" s="4"/>
      <c r="E105" s="4"/>
      <c r="F105" s="4"/>
      <c r="G105" s="4"/>
      <c r="H105" s="4"/>
      <c r="I105" s="2"/>
      <c r="J105" s="4"/>
      <c r="K105" s="4"/>
      <c r="L105" s="10"/>
      <c r="M105" s="2"/>
      <c r="N105" s="2"/>
    </row>
    <row r="106" spans="2:14" x14ac:dyDescent="0.2">
      <c r="B106" s="4"/>
      <c r="C106" s="4"/>
      <c r="D106" s="4"/>
      <c r="E106" s="4"/>
      <c r="F106" s="4"/>
      <c r="G106" s="4"/>
      <c r="H106" s="4"/>
      <c r="I106" s="2"/>
      <c r="J106" s="4"/>
      <c r="K106" s="4"/>
      <c r="L106" s="10"/>
      <c r="M106" s="2"/>
      <c r="N106" s="2"/>
    </row>
    <row r="107" spans="2:14" x14ac:dyDescent="0.2">
      <c r="B107" s="4"/>
      <c r="C107" s="4"/>
      <c r="D107" s="4"/>
      <c r="E107" s="4"/>
      <c r="F107" s="4"/>
      <c r="G107" s="4"/>
      <c r="H107" s="4"/>
      <c r="I107" s="2"/>
      <c r="J107" s="4"/>
      <c r="K107" s="4"/>
      <c r="L107" s="10"/>
      <c r="M107" s="2"/>
      <c r="N107" s="2"/>
    </row>
    <row r="108" spans="2:14" x14ac:dyDescent="0.2">
      <c r="B108" s="4"/>
      <c r="C108" s="4"/>
      <c r="D108" s="4"/>
      <c r="E108" s="4"/>
      <c r="F108" s="4"/>
      <c r="G108" s="4"/>
      <c r="H108" s="4"/>
      <c r="I108" s="2"/>
      <c r="J108" s="4"/>
      <c r="K108" s="4"/>
      <c r="L108" s="10"/>
      <c r="M108" s="2"/>
      <c r="N108" s="2"/>
    </row>
    <row r="109" spans="2:14" x14ac:dyDescent="0.2">
      <c r="B109" s="4"/>
      <c r="C109" s="4"/>
      <c r="D109" s="4"/>
      <c r="E109" s="4"/>
      <c r="F109" s="4"/>
      <c r="G109" s="4"/>
      <c r="H109" s="4"/>
      <c r="I109" s="2"/>
      <c r="J109" s="4"/>
      <c r="K109" s="4"/>
      <c r="L109" s="10"/>
      <c r="M109" s="2"/>
      <c r="N109" s="2"/>
    </row>
    <row r="110" spans="2:14" x14ac:dyDescent="0.2">
      <c r="B110" s="4"/>
      <c r="C110" s="4"/>
      <c r="D110" s="4"/>
      <c r="E110" s="4"/>
      <c r="F110" s="4"/>
      <c r="G110" s="4"/>
      <c r="H110" s="4"/>
      <c r="I110" s="2"/>
      <c r="J110" s="4"/>
      <c r="K110" s="4"/>
      <c r="L110" s="10"/>
      <c r="M110" s="2"/>
      <c r="N110" s="2"/>
    </row>
    <row r="111" spans="2:14" x14ac:dyDescent="0.2">
      <c r="B111" s="4"/>
      <c r="C111" s="4"/>
      <c r="D111" s="4"/>
      <c r="E111" s="4"/>
      <c r="F111" s="4"/>
      <c r="G111" s="4"/>
      <c r="H111" s="4"/>
      <c r="I111" s="2"/>
      <c r="J111" s="4"/>
      <c r="K111" s="4"/>
      <c r="L111" s="10"/>
      <c r="M111" s="2"/>
      <c r="N111" s="2"/>
    </row>
    <row r="112" spans="2:14" x14ac:dyDescent="0.2">
      <c r="B112" s="4"/>
      <c r="C112" s="4"/>
      <c r="D112" s="4"/>
      <c r="E112" s="4"/>
      <c r="F112" s="4"/>
      <c r="G112" s="4"/>
      <c r="H112" s="4"/>
      <c r="I112" s="2"/>
      <c r="J112" s="4"/>
      <c r="K112" s="4"/>
      <c r="L112" s="10"/>
      <c r="M112" s="2"/>
      <c r="N112" s="2"/>
    </row>
    <row r="113" spans="2:14" x14ac:dyDescent="0.2">
      <c r="B113" s="4"/>
      <c r="C113" s="4"/>
      <c r="D113" s="4"/>
      <c r="E113" s="4"/>
      <c r="F113" s="4"/>
      <c r="G113" s="4"/>
      <c r="H113" s="4"/>
      <c r="I113" s="2"/>
      <c r="J113" s="4"/>
      <c r="K113" s="4"/>
      <c r="L113" s="10"/>
      <c r="M113" s="2"/>
      <c r="N113" s="2"/>
    </row>
    <row r="114" spans="2:14" x14ac:dyDescent="0.2">
      <c r="B114" s="4"/>
      <c r="C114" s="4"/>
      <c r="D114" s="4"/>
      <c r="E114" s="4"/>
      <c r="F114" s="4"/>
      <c r="G114" s="4"/>
      <c r="H114" s="4"/>
      <c r="I114" s="2"/>
      <c r="J114" s="4"/>
      <c r="K114" s="4"/>
      <c r="L114" s="10"/>
      <c r="M114" s="2"/>
      <c r="N114" s="2"/>
    </row>
    <row r="115" spans="2:14" x14ac:dyDescent="0.2">
      <c r="B115" s="4"/>
      <c r="C115" s="4"/>
      <c r="D115" s="4"/>
      <c r="E115" s="4"/>
      <c r="F115" s="4"/>
      <c r="G115" s="4"/>
      <c r="H115" s="4"/>
      <c r="I115" s="2"/>
      <c r="J115" s="4"/>
      <c r="K115" s="4"/>
      <c r="L115" s="10"/>
      <c r="M115" s="2"/>
      <c r="N115" s="2"/>
    </row>
    <row r="116" spans="2:14" x14ac:dyDescent="0.2">
      <c r="B116" s="4"/>
      <c r="C116" s="4"/>
      <c r="D116" s="4"/>
      <c r="E116" s="4"/>
      <c r="F116" s="4"/>
      <c r="G116" s="4"/>
      <c r="H116" s="4"/>
      <c r="I116" s="2"/>
      <c r="J116" s="4"/>
      <c r="K116" s="4"/>
      <c r="L116" s="10"/>
      <c r="M116" s="2"/>
      <c r="N116" s="2"/>
    </row>
    <row r="117" spans="2:14" x14ac:dyDescent="0.2">
      <c r="B117" s="4"/>
      <c r="C117" s="4"/>
      <c r="D117" s="4"/>
      <c r="E117" s="4"/>
      <c r="F117" s="4"/>
      <c r="G117" s="4"/>
      <c r="H117" s="4"/>
      <c r="I117" s="2"/>
      <c r="J117" s="4"/>
      <c r="K117" s="4"/>
      <c r="L117" s="10"/>
      <c r="M117" s="2"/>
      <c r="N117" s="2"/>
    </row>
    <row r="118" spans="2:14" x14ac:dyDescent="0.2">
      <c r="B118" s="4"/>
      <c r="C118" s="4"/>
      <c r="D118" s="4"/>
      <c r="E118" s="4"/>
      <c r="F118" s="4"/>
      <c r="G118" s="4"/>
      <c r="H118" s="4"/>
      <c r="I118" s="2"/>
      <c r="J118" s="4"/>
      <c r="K118" s="4"/>
      <c r="L118" s="10"/>
      <c r="M118" s="2"/>
      <c r="N118" s="2"/>
    </row>
    <row r="119" spans="2:14" x14ac:dyDescent="0.2">
      <c r="B119" s="4"/>
      <c r="C119" s="4"/>
      <c r="D119" s="4"/>
      <c r="E119" s="4"/>
      <c r="F119" s="4"/>
      <c r="G119" s="4"/>
      <c r="H119" s="4"/>
      <c r="I119" s="2"/>
      <c r="J119" s="4"/>
      <c r="K119" s="4"/>
      <c r="L119" s="10"/>
      <c r="M119" s="2"/>
      <c r="N119" s="2"/>
    </row>
    <row r="120" spans="2:14" x14ac:dyDescent="0.2">
      <c r="B120" s="4"/>
      <c r="C120" s="4"/>
      <c r="D120" s="4"/>
      <c r="E120" s="4"/>
      <c r="F120" s="4"/>
      <c r="G120" s="4"/>
      <c r="H120" s="4"/>
      <c r="I120" s="2"/>
      <c r="J120" s="4"/>
      <c r="K120" s="4"/>
      <c r="L120" s="10"/>
      <c r="M120" s="2"/>
      <c r="N120" s="2"/>
    </row>
    <row r="121" spans="2:14" x14ac:dyDescent="0.2">
      <c r="B121" s="4"/>
      <c r="C121" s="4"/>
      <c r="D121" s="4"/>
      <c r="E121" s="4"/>
      <c r="F121" s="4"/>
      <c r="G121" s="4"/>
      <c r="H121" s="4"/>
      <c r="I121" s="2"/>
      <c r="J121" s="4"/>
      <c r="K121" s="4"/>
      <c r="L121" s="10"/>
      <c r="M121" s="2"/>
      <c r="N121" s="2"/>
    </row>
    <row r="122" spans="2:14" x14ac:dyDescent="0.2">
      <c r="B122" s="4"/>
      <c r="C122" s="4"/>
      <c r="D122" s="4"/>
      <c r="E122" s="4"/>
      <c r="F122" s="4"/>
      <c r="G122" s="4"/>
      <c r="H122" s="4"/>
      <c r="I122" s="2"/>
      <c r="J122" s="4"/>
      <c r="K122" s="4"/>
      <c r="L122" s="10"/>
      <c r="M122" s="2"/>
      <c r="N122" s="2"/>
    </row>
    <row r="123" spans="2:14" x14ac:dyDescent="0.2">
      <c r="B123" s="4"/>
      <c r="C123" s="4"/>
      <c r="D123" s="4"/>
      <c r="E123" s="4"/>
      <c r="F123" s="4"/>
      <c r="G123" s="4"/>
      <c r="H123" s="4"/>
      <c r="I123" s="2"/>
      <c r="J123" s="4"/>
      <c r="K123" s="4"/>
      <c r="L123" s="10"/>
      <c r="M123" s="2"/>
      <c r="N123" s="2"/>
    </row>
    <row r="124" spans="2:14" x14ac:dyDescent="0.2">
      <c r="B124" s="4"/>
      <c r="C124" s="4"/>
      <c r="D124" s="4"/>
      <c r="E124" s="4"/>
      <c r="F124" s="4"/>
      <c r="G124" s="4"/>
      <c r="H124" s="4"/>
      <c r="I124" s="2"/>
      <c r="J124" s="4"/>
      <c r="K124" s="4"/>
      <c r="L124" s="10"/>
      <c r="M124" s="2"/>
      <c r="N124" s="2"/>
    </row>
    <row r="125" spans="2:14" x14ac:dyDescent="0.2">
      <c r="B125" s="4"/>
      <c r="C125" s="4"/>
      <c r="D125" s="4"/>
      <c r="E125" s="4"/>
      <c r="F125" s="4"/>
      <c r="G125" s="4"/>
      <c r="H125" s="4"/>
      <c r="I125" s="2"/>
      <c r="J125" s="4"/>
      <c r="K125" s="4"/>
      <c r="L125" s="10"/>
      <c r="M125" s="2"/>
      <c r="N125" s="2"/>
    </row>
    <row r="126" spans="2:14" x14ac:dyDescent="0.2">
      <c r="B126" s="4"/>
      <c r="C126" s="4"/>
      <c r="D126" s="4"/>
      <c r="E126" s="4"/>
      <c r="F126" s="4"/>
      <c r="G126" s="4"/>
      <c r="H126" s="4"/>
      <c r="I126" s="2"/>
      <c r="J126" s="4"/>
      <c r="K126" s="4"/>
      <c r="L126" s="10"/>
      <c r="M126" s="2"/>
      <c r="N126" s="2"/>
    </row>
    <row r="127" spans="2:14" x14ac:dyDescent="0.2">
      <c r="B127" s="4"/>
      <c r="C127" s="4"/>
      <c r="D127" s="4"/>
      <c r="E127" s="4"/>
      <c r="F127" s="4"/>
      <c r="G127" s="4"/>
      <c r="H127" s="4"/>
      <c r="I127" s="2"/>
      <c r="J127" s="4"/>
      <c r="K127" s="4"/>
      <c r="L127" s="10"/>
      <c r="M127" s="2"/>
      <c r="N127" s="2"/>
    </row>
    <row r="128" spans="2:14" x14ac:dyDescent="0.2">
      <c r="B128" s="4"/>
      <c r="C128" s="4"/>
      <c r="D128" s="4"/>
      <c r="E128" s="4"/>
      <c r="F128" s="4"/>
      <c r="G128" s="4"/>
      <c r="H128" s="4"/>
      <c r="I128" s="2"/>
      <c r="J128" s="4"/>
      <c r="K128" s="4"/>
      <c r="L128" s="10"/>
      <c r="M128" s="2"/>
      <c r="N128" s="2"/>
    </row>
    <row r="129" spans="2:15" x14ac:dyDescent="0.2">
      <c r="B129" s="4"/>
      <c r="C129" s="4"/>
      <c r="D129" s="4"/>
      <c r="E129" s="4"/>
      <c r="F129" s="4"/>
      <c r="G129" s="4"/>
      <c r="H129" s="4"/>
      <c r="I129" s="2"/>
      <c r="J129" s="4"/>
      <c r="K129" s="4"/>
      <c r="L129" s="10"/>
      <c r="M129" s="2"/>
      <c r="N129" s="2"/>
    </row>
    <row r="130" spans="2:15" x14ac:dyDescent="0.2">
      <c r="B130" s="4"/>
      <c r="C130" s="4"/>
      <c r="D130" s="4"/>
      <c r="E130" s="4"/>
      <c r="F130" s="4"/>
      <c r="G130" s="4"/>
      <c r="H130" s="4"/>
      <c r="I130" s="2"/>
      <c r="J130" s="4"/>
      <c r="K130" s="4"/>
      <c r="L130" s="10"/>
      <c r="M130" s="2"/>
      <c r="N130" s="2"/>
    </row>
    <row r="131" spans="2:15" x14ac:dyDescent="0.2">
      <c r="B131" s="4"/>
      <c r="C131" s="4"/>
      <c r="D131" s="4"/>
      <c r="E131" s="4"/>
      <c r="F131" s="4"/>
      <c r="G131" s="4"/>
      <c r="H131" s="4"/>
      <c r="I131" s="2"/>
      <c r="J131" s="4"/>
      <c r="K131" s="4"/>
      <c r="L131" s="10"/>
      <c r="M131" s="2"/>
      <c r="N131" s="2"/>
      <c r="O131" s="24"/>
    </row>
    <row r="132" spans="2:15" x14ac:dyDescent="0.2">
      <c r="B132" s="4"/>
      <c r="C132" s="4"/>
      <c r="D132" s="4"/>
      <c r="E132" s="4"/>
      <c r="F132" s="4"/>
      <c r="G132" s="4"/>
      <c r="H132" s="4"/>
      <c r="I132" s="2"/>
      <c r="J132" s="4"/>
      <c r="K132" s="4"/>
      <c r="L132" s="10"/>
      <c r="M132" s="2"/>
      <c r="N132" s="2"/>
    </row>
    <row r="133" spans="2:15" x14ac:dyDescent="0.2">
      <c r="B133" s="4"/>
      <c r="C133" s="4"/>
      <c r="D133" s="4"/>
      <c r="E133" s="4"/>
      <c r="F133" s="4"/>
      <c r="G133" s="4"/>
      <c r="H133" s="4"/>
      <c r="I133" s="2"/>
      <c r="J133" s="4"/>
      <c r="K133" s="4"/>
      <c r="L133" s="10"/>
      <c r="M133" s="2"/>
      <c r="N133" s="2"/>
    </row>
    <row r="134" spans="2:15" x14ac:dyDescent="0.2">
      <c r="B134" s="4"/>
      <c r="C134" s="4"/>
      <c r="D134" s="4"/>
      <c r="E134" s="4"/>
      <c r="F134" s="4"/>
      <c r="G134" s="4"/>
      <c r="H134" s="4"/>
      <c r="I134" s="2"/>
      <c r="J134" s="4"/>
      <c r="K134" s="4"/>
      <c r="L134" s="10"/>
      <c r="M134" s="2"/>
      <c r="N134" s="2"/>
    </row>
    <row r="135" spans="2:15" x14ac:dyDescent="0.2">
      <c r="B135" s="4"/>
      <c r="C135" s="4"/>
      <c r="D135" s="4"/>
      <c r="E135" s="4"/>
      <c r="F135" s="4"/>
      <c r="G135" s="4"/>
      <c r="H135" s="4"/>
      <c r="I135" s="2"/>
      <c r="J135" s="4"/>
      <c r="K135" s="4"/>
      <c r="L135" s="10"/>
      <c r="M135" s="2"/>
      <c r="N135" s="2"/>
    </row>
    <row r="136" spans="2:15" x14ac:dyDescent="0.2">
      <c r="B136" s="4"/>
      <c r="C136" s="4"/>
      <c r="D136" s="4"/>
      <c r="E136" s="4"/>
      <c r="F136" s="4"/>
      <c r="G136" s="4"/>
      <c r="H136" s="4"/>
      <c r="I136" s="2"/>
      <c r="J136" s="4"/>
      <c r="K136" s="4"/>
      <c r="L136" s="10"/>
      <c r="M136" s="2"/>
      <c r="N136" s="2"/>
    </row>
    <row r="137" spans="2:15" x14ac:dyDescent="0.2">
      <c r="B137" s="4"/>
      <c r="C137" s="4"/>
      <c r="D137" s="4"/>
      <c r="E137" s="4"/>
      <c r="F137" s="4"/>
      <c r="G137" s="4"/>
      <c r="H137" s="4"/>
      <c r="I137" s="2"/>
      <c r="J137" s="4"/>
      <c r="K137" s="4"/>
      <c r="L137" s="10"/>
      <c r="M137" s="2"/>
      <c r="N137" s="2"/>
    </row>
    <row r="138" spans="2:15" x14ac:dyDescent="0.2">
      <c r="B138" s="4"/>
      <c r="C138" s="4"/>
      <c r="D138" s="4"/>
      <c r="E138" s="4"/>
      <c r="F138" s="4"/>
      <c r="G138" s="4"/>
      <c r="H138" s="4"/>
      <c r="I138" s="2"/>
      <c r="J138" s="4"/>
      <c r="K138" s="4"/>
      <c r="L138" s="10"/>
      <c r="M138" s="2"/>
      <c r="N138" s="2"/>
    </row>
    <row r="139" spans="2:15" x14ac:dyDescent="0.2">
      <c r="B139" s="4"/>
      <c r="C139" s="4"/>
      <c r="D139" s="4"/>
      <c r="E139" s="4"/>
      <c r="F139" s="4"/>
      <c r="G139" s="4"/>
      <c r="H139" s="4"/>
      <c r="I139" s="2"/>
      <c r="J139" s="4"/>
      <c r="K139" s="4"/>
      <c r="L139" s="10"/>
      <c r="M139" s="2"/>
      <c r="N139" s="2"/>
    </row>
    <row r="140" spans="2:15" x14ac:dyDescent="0.2">
      <c r="B140" s="4"/>
      <c r="C140" s="4"/>
      <c r="D140" s="4"/>
      <c r="E140" s="4"/>
      <c r="F140" s="4"/>
      <c r="G140" s="4"/>
      <c r="H140" s="4"/>
      <c r="I140" s="2"/>
      <c r="J140" s="4"/>
      <c r="K140" s="4"/>
      <c r="L140" s="10"/>
      <c r="M140" s="2"/>
      <c r="N140" s="2"/>
    </row>
    <row r="141" spans="2:15" x14ac:dyDescent="0.2">
      <c r="B141" s="4"/>
      <c r="C141" s="4"/>
      <c r="D141" s="4"/>
      <c r="E141" s="4"/>
      <c r="F141" s="4"/>
      <c r="G141" s="4"/>
      <c r="H141" s="4"/>
      <c r="I141" s="2"/>
      <c r="J141" s="4"/>
      <c r="K141" s="4"/>
      <c r="L141" s="10"/>
      <c r="M141" s="2"/>
      <c r="N141" s="2"/>
    </row>
    <row r="142" spans="2:15" x14ac:dyDescent="0.2">
      <c r="B142" s="4"/>
      <c r="C142" s="4"/>
      <c r="D142" s="4"/>
      <c r="E142" s="4"/>
      <c r="F142" s="4"/>
      <c r="G142" s="4"/>
      <c r="H142" s="4"/>
      <c r="I142" s="2"/>
      <c r="J142" s="4"/>
      <c r="K142" s="4"/>
      <c r="L142" s="10"/>
      <c r="M142" s="2"/>
      <c r="N142" s="2"/>
    </row>
    <row r="143" spans="2:15" x14ac:dyDescent="0.2">
      <c r="B143" s="4"/>
      <c r="C143" s="4"/>
      <c r="D143" s="4"/>
      <c r="E143" s="4"/>
      <c r="F143" s="4"/>
      <c r="G143" s="4"/>
      <c r="H143" s="4"/>
      <c r="I143" s="2"/>
      <c r="J143" s="4"/>
      <c r="K143" s="4"/>
      <c r="L143" s="10"/>
      <c r="M143" s="2"/>
      <c r="N143" s="2"/>
    </row>
    <row r="144" spans="2:15" x14ac:dyDescent="0.2">
      <c r="B144" s="4"/>
      <c r="C144" s="4"/>
      <c r="D144" s="4"/>
      <c r="E144" s="4"/>
      <c r="F144" s="4"/>
      <c r="G144" s="4"/>
      <c r="H144" s="4"/>
      <c r="I144" s="2"/>
      <c r="J144" s="4"/>
      <c r="K144" s="4"/>
      <c r="L144" s="10"/>
      <c r="M144" s="2"/>
      <c r="N144" s="2"/>
    </row>
    <row r="145" spans="2:15" x14ac:dyDescent="0.2">
      <c r="B145" s="4"/>
      <c r="C145" s="4"/>
      <c r="D145" s="4"/>
      <c r="E145" s="4"/>
      <c r="F145" s="4"/>
      <c r="G145" s="4"/>
      <c r="H145" s="4"/>
      <c r="I145" s="2"/>
      <c r="J145" s="4"/>
      <c r="K145" s="4"/>
      <c r="L145" s="10"/>
      <c r="M145" s="2"/>
      <c r="N145" s="2"/>
    </row>
    <row r="146" spans="2:15" x14ac:dyDescent="0.2">
      <c r="B146" s="4"/>
      <c r="C146" s="4"/>
      <c r="D146" s="4"/>
      <c r="E146" s="4"/>
      <c r="F146" s="4"/>
      <c r="G146" s="4"/>
      <c r="H146" s="4"/>
      <c r="I146" s="2"/>
      <c r="J146" s="4"/>
      <c r="K146" s="4"/>
      <c r="L146" s="10"/>
      <c r="M146" s="2"/>
      <c r="N146" s="2"/>
    </row>
    <row r="147" spans="2:15" x14ac:dyDescent="0.2">
      <c r="B147" s="4"/>
      <c r="C147" s="4"/>
      <c r="D147" s="4"/>
      <c r="E147" s="4"/>
      <c r="F147" s="4"/>
      <c r="G147" s="4"/>
      <c r="H147" s="4"/>
      <c r="I147" s="2"/>
      <c r="J147" s="4"/>
      <c r="K147" s="4"/>
      <c r="L147" s="10"/>
      <c r="M147" s="2"/>
      <c r="N147" s="2"/>
    </row>
    <row r="148" spans="2:15" x14ac:dyDescent="0.2">
      <c r="B148" s="4"/>
      <c r="C148" s="4"/>
      <c r="D148" s="4"/>
      <c r="E148" s="4"/>
      <c r="F148" s="4"/>
      <c r="G148" s="4"/>
      <c r="H148" s="4"/>
      <c r="I148" s="2"/>
      <c r="J148" s="4"/>
      <c r="K148" s="4"/>
      <c r="L148" s="10"/>
      <c r="M148" s="2"/>
      <c r="N148" s="2"/>
      <c r="O148" s="11"/>
    </row>
    <row r="149" spans="2:15" x14ac:dyDescent="0.2">
      <c r="B149" s="4"/>
      <c r="C149" s="4"/>
      <c r="D149" s="4"/>
      <c r="E149" s="4"/>
      <c r="F149" s="4"/>
      <c r="G149" s="4"/>
      <c r="H149" s="4"/>
      <c r="I149" s="2"/>
      <c r="J149" s="4"/>
      <c r="K149" s="4"/>
      <c r="L149" s="10"/>
      <c r="M149" s="2"/>
      <c r="N149" s="2"/>
    </row>
    <row r="150" spans="2:15" x14ac:dyDescent="0.2">
      <c r="B150" s="4"/>
      <c r="C150" s="4"/>
      <c r="D150" s="4"/>
      <c r="E150" s="4"/>
      <c r="F150" s="4"/>
      <c r="G150" s="4"/>
      <c r="H150" s="4"/>
      <c r="I150" s="2"/>
      <c r="J150" s="4"/>
      <c r="K150" s="4"/>
      <c r="L150" s="10"/>
      <c r="M150" s="2"/>
      <c r="N150" s="2"/>
    </row>
    <row r="151" spans="2:15" x14ac:dyDescent="0.2">
      <c r="B151" s="4"/>
      <c r="C151" s="4"/>
      <c r="D151" s="4"/>
      <c r="E151" s="4"/>
      <c r="F151" s="4"/>
      <c r="G151" s="4"/>
      <c r="H151" s="4"/>
      <c r="I151" s="2"/>
      <c r="J151" s="4"/>
      <c r="K151" s="4"/>
      <c r="L151" s="10"/>
      <c r="M151" s="2"/>
      <c r="N151" s="2"/>
    </row>
    <row r="152" spans="2:15" x14ac:dyDescent="0.2">
      <c r="B152" s="4"/>
      <c r="C152" s="4"/>
      <c r="D152" s="4"/>
      <c r="E152" s="4"/>
      <c r="F152" s="4"/>
      <c r="G152" s="4"/>
      <c r="H152" s="4"/>
      <c r="I152" s="2"/>
      <c r="J152" s="4"/>
      <c r="K152" s="4"/>
      <c r="L152" s="10"/>
      <c r="M152" s="2"/>
      <c r="N152" s="2"/>
      <c r="O152" s="23"/>
    </row>
    <row r="153" spans="2:15" x14ac:dyDescent="0.2">
      <c r="B153" s="4"/>
      <c r="C153" s="4"/>
      <c r="D153" s="4"/>
      <c r="E153" s="4"/>
      <c r="F153" s="4"/>
      <c r="G153" s="4"/>
      <c r="H153" s="4"/>
      <c r="I153" s="2"/>
      <c r="J153" s="4"/>
      <c r="K153" s="4"/>
      <c r="L153" s="10"/>
      <c r="M153" s="2"/>
      <c r="N153" s="2"/>
    </row>
    <row r="154" spans="2:15" x14ac:dyDescent="0.2">
      <c r="B154" s="4"/>
      <c r="C154" s="4"/>
      <c r="D154" s="4"/>
      <c r="E154" s="4"/>
      <c r="F154" s="4"/>
      <c r="G154" s="4"/>
      <c r="H154" s="4"/>
      <c r="I154" s="2"/>
      <c r="J154" s="4"/>
      <c r="K154" s="4"/>
      <c r="L154" s="10"/>
      <c r="M154" s="2"/>
      <c r="N154" s="2"/>
    </row>
    <row r="155" spans="2:15" x14ac:dyDescent="0.2">
      <c r="B155" s="4"/>
      <c r="C155" s="4"/>
      <c r="D155" s="4"/>
      <c r="E155" s="4"/>
      <c r="F155" s="4"/>
      <c r="G155" s="4"/>
      <c r="H155" s="4"/>
      <c r="I155" s="2"/>
      <c r="J155" s="4"/>
      <c r="K155" s="4"/>
      <c r="L155" s="10"/>
      <c r="M155" s="2"/>
      <c r="N155" s="2"/>
    </row>
    <row r="156" spans="2:15" x14ac:dyDescent="0.2">
      <c r="B156" s="4"/>
      <c r="C156" s="4"/>
      <c r="D156" s="4"/>
      <c r="E156" s="4"/>
      <c r="F156" s="4"/>
      <c r="G156" s="4"/>
      <c r="H156" s="4"/>
      <c r="I156" s="2"/>
      <c r="J156" s="4"/>
      <c r="K156" s="4"/>
      <c r="L156" s="10"/>
      <c r="M156" s="2"/>
      <c r="N156" s="2"/>
      <c r="O156" s="11"/>
    </row>
    <row r="157" spans="2:15" x14ac:dyDescent="0.2">
      <c r="B157" s="4"/>
      <c r="C157" s="4"/>
      <c r="D157" s="4"/>
      <c r="E157" s="4"/>
      <c r="F157" s="4"/>
      <c r="G157" s="4"/>
      <c r="H157" s="4"/>
      <c r="I157" s="2"/>
      <c r="J157" s="4"/>
      <c r="K157" s="4"/>
      <c r="L157" s="10"/>
      <c r="M157" s="2"/>
      <c r="N157" s="2"/>
    </row>
    <row r="158" spans="2:15" x14ac:dyDescent="0.2">
      <c r="B158" s="4"/>
      <c r="C158" s="4"/>
      <c r="D158" s="4"/>
      <c r="E158" s="4"/>
      <c r="F158" s="4"/>
      <c r="G158" s="4"/>
      <c r="H158" s="4"/>
      <c r="I158" s="2"/>
      <c r="J158" s="4"/>
      <c r="K158" s="4"/>
      <c r="L158" s="10"/>
      <c r="M158" s="2"/>
      <c r="N158" s="2"/>
    </row>
    <row r="159" spans="2:15" x14ac:dyDescent="0.2">
      <c r="B159" s="4"/>
      <c r="C159" s="4"/>
      <c r="D159" s="4"/>
      <c r="E159" s="4"/>
      <c r="F159" s="4"/>
      <c r="G159" s="4"/>
      <c r="H159" s="4"/>
      <c r="I159" s="2"/>
      <c r="J159" s="4"/>
      <c r="K159" s="4"/>
      <c r="L159" s="10"/>
      <c r="M159" s="2"/>
      <c r="N159" s="2"/>
    </row>
    <row r="160" spans="2:15" x14ac:dyDescent="0.2">
      <c r="B160" s="4"/>
      <c r="C160" s="4"/>
      <c r="D160" s="4"/>
      <c r="E160" s="4"/>
      <c r="F160" s="4"/>
      <c r="G160" s="4"/>
      <c r="H160" s="4"/>
      <c r="I160" s="2"/>
      <c r="J160" s="4"/>
      <c r="K160" s="4"/>
      <c r="L160" s="10"/>
      <c r="M160" s="2"/>
      <c r="N160" s="2"/>
    </row>
    <row r="161" spans="2:18" x14ac:dyDescent="0.2">
      <c r="B161" s="4"/>
      <c r="C161" s="4"/>
      <c r="D161" s="4"/>
      <c r="E161" s="4"/>
      <c r="F161" s="4"/>
      <c r="G161" s="4"/>
      <c r="H161" s="4"/>
      <c r="I161" s="2"/>
      <c r="J161" s="4"/>
      <c r="K161" s="4"/>
      <c r="L161" s="10"/>
      <c r="M161" s="2"/>
      <c r="N161" s="2"/>
    </row>
    <row r="162" spans="2:18" x14ac:dyDescent="0.2">
      <c r="B162" s="4"/>
      <c r="C162" s="4"/>
      <c r="D162" s="4"/>
      <c r="E162" s="4"/>
      <c r="F162" s="4"/>
      <c r="G162" s="4"/>
      <c r="H162" s="4"/>
      <c r="I162" s="2"/>
      <c r="J162" s="4"/>
      <c r="K162" s="4"/>
      <c r="L162" s="10"/>
      <c r="M162" s="2"/>
      <c r="N162" s="2"/>
    </row>
    <row r="163" spans="2:18" x14ac:dyDescent="0.2">
      <c r="B163" s="4"/>
      <c r="C163" s="4"/>
      <c r="D163" s="4"/>
      <c r="E163" s="4"/>
      <c r="F163" s="4"/>
      <c r="G163" s="4"/>
      <c r="H163" s="4"/>
      <c r="I163" s="2"/>
      <c r="J163" s="4"/>
      <c r="K163" s="4"/>
      <c r="L163" s="10"/>
      <c r="M163" s="2"/>
      <c r="N163" s="2"/>
    </row>
    <row r="164" spans="2:18" x14ac:dyDescent="0.2">
      <c r="B164" s="4"/>
      <c r="C164" s="4"/>
      <c r="D164" s="4"/>
      <c r="E164" s="4"/>
      <c r="F164" s="4"/>
      <c r="G164" s="4"/>
      <c r="H164" s="4"/>
      <c r="I164" s="2"/>
      <c r="J164" s="4"/>
      <c r="K164" s="4"/>
      <c r="L164" s="10"/>
      <c r="M164" s="2"/>
      <c r="N164" s="2"/>
      <c r="O164" s="11"/>
      <c r="R164" s="11"/>
    </row>
    <row r="165" spans="2:18" x14ac:dyDescent="0.2">
      <c r="B165" s="4"/>
      <c r="C165" s="4"/>
      <c r="D165" s="4"/>
      <c r="E165" s="4"/>
      <c r="F165" s="4"/>
      <c r="G165" s="4"/>
      <c r="H165" s="4"/>
      <c r="I165" s="2"/>
      <c r="J165" s="4"/>
      <c r="K165" s="4"/>
      <c r="L165" s="10"/>
      <c r="M165" s="2"/>
      <c r="N165" s="2"/>
    </row>
    <row r="166" spans="2:18" x14ac:dyDescent="0.2">
      <c r="B166" s="4"/>
      <c r="C166" s="4"/>
      <c r="D166" s="4"/>
      <c r="E166" s="4"/>
      <c r="F166" s="4"/>
      <c r="G166" s="4"/>
      <c r="H166" s="4"/>
      <c r="I166" s="2"/>
      <c r="J166" s="4"/>
      <c r="K166" s="4"/>
      <c r="L166" s="10"/>
      <c r="M166" s="2"/>
      <c r="N166" s="2"/>
    </row>
    <row r="167" spans="2:18" x14ac:dyDescent="0.2">
      <c r="B167" s="4"/>
      <c r="C167" s="4"/>
      <c r="D167" s="4"/>
      <c r="E167" s="4"/>
      <c r="F167" s="4"/>
      <c r="G167" s="4"/>
      <c r="H167" s="4"/>
      <c r="I167" s="2"/>
      <c r="J167" s="4"/>
      <c r="K167" s="4"/>
      <c r="L167" s="10"/>
      <c r="M167" s="2"/>
      <c r="N167" s="2"/>
    </row>
    <row r="168" spans="2:18" x14ac:dyDescent="0.2">
      <c r="B168" s="4"/>
      <c r="C168" s="4"/>
      <c r="D168" s="4"/>
      <c r="E168" s="4"/>
      <c r="F168" s="4"/>
      <c r="G168" s="4"/>
      <c r="H168" s="4"/>
      <c r="I168" s="2"/>
      <c r="J168" s="4"/>
      <c r="K168" s="4"/>
      <c r="L168" s="10"/>
      <c r="M168" s="2"/>
      <c r="N168" s="2"/>
    </row>
    <row r="169" spans="2:18" x14ac:dyDescent="0.2">
      <c r="B169" s="4"/>
      <c r="C169" s="4"/>
      <c r="D169" s="4"/>
      <c r="E169" s="4"/>
      <c r="F169" s="4"/>
      <c r="G169" s="4"/>
      <c r="H169" s="4"/>
      <c r="I169" s="2"/>
      <c r="J169" s="4"/>
      <c r="K169" s="4"/>
      <c r="L169" s="10"/>
      <c r="M169" s="2"/>
      <c r="N169" s="2"/>
    </row>
    <row r="170" spans="2:18" x14ac:dyDescent="0.2">
      <c r="B170" s="4"/>
      <c r="C170" s="4"/>
      <c r="D170" s="4"/>
      <c r="E170" s="4"/>
      <c r="F170" s="4"/>
      <c r="G170" s="4"/>
      <c r="H170" s="4"/>
      <c r="I170" s="2"/>
      <c r="J170" s="4"/>
      <c r="K170" s="4"/>
      <c r="L170" s="10"/>
      <c r="M170" s="2"/>
      <c r="N170" s="2"/>
    </row>
    <row r="171" spans="2:18" x14ac:dyDescent="0.2">
      <c r="B171" s="4"/>
      <c r="C171" s="4"/>
      <c r="D171" s="4"/>
      <c r="E171" s="4"/>
      <c r="F171" s="4"/>
      <c r="G171" s="4"/>
      <c r="H171" s="4"/>
      <c r="I171" s="2"/>
      <c r="J171" s="4"/>
      <c r="K171" s="4"/>
      <c r="L171" s="10"/>
      <c r="M171" s="2"/>
      <c r="N171" s="2"/>
    </row>
    <row r="172" spans="2:18" x14ac:dyDescent="0.2">
      <c r="B172" s="4"/>
      <c r="C172" s="4"/>
      <c r="D172" s="4"/>
      <c r="E172" s="4"/>
      <c r="F172" s="4"/>
      <c r="G172" s="4"/>
      <c r="H172" s="4"/>
      <c r="I172" s="2"/>
      <c r="J172" s="4"/>
      <c r="K172" s="4"/>
      <c r="L172" s="10"/>
      <c r="M172" s="2"/>
      <c r="N172" s="2"/>
      <c r="O172" s="11"/>
      <c r="R172" s="11"/>
    </row>
    <row r="173" spans="2:18" x14ac:dyDescent="0.2">
      <c r="B173" s="4"/>
      <c r="C173" s="4"/>
      <c r="D173" s="4"/>
      <c r="E173" s="4"/>
      <c r="F173" s="4"/>
      <c r="G173" s="4"/>
      <c r="H173" s="4"/>
      <c r="I173" s="2"/>
      <c r="J173" s="4"/>
      <c r="K173" s="4"/>
      <c r="L173" s="10"/>
      <c r="M173" s="2"/>
      <c r="N173" s="2"/>
    </row>
    <row r="174" spans="2:18" x14ac:dyDescent="0.2">
      <c r="B174" s="4"/>
      <c r="C174" s="4"/>
      <c r="D174" s="4"/>
      <c r="E174" s="4"/>
      <c r="F174" s="4"/>
      <c r="G174" s="4"/>
      <c r="H174" s="4"/>
      <c r="I174" s="2"/>
      <c r="J174" s="4"/>
      <c r="K174" s="4"/>
      <c r="L174" s="10"/>
      <c r="M174" s="2"/>
      <c r="N174" s="2"/>
    </row>
    <row r="175" spans="2:18" x14ac:dyDescent="0.2">
      <c r="B175" s="4"/>
      <c r="C175" s="4"/>
      <c r="D175" s="4"/>
      <c r="E175" s="4"/>
      <c r="F175" s="4"/>
      <c r="G175" s="4"/>
      <c r="H175" s="4"/>
      <c r="I175" s="2"/>
      <c r="J175" s="4"/>
      <c r="K175" s="4"/>
      <c r="L175" s="10"/>
      <c r="M175" s="2"/>
      <c r="N175" s="2"/>
    </row>
    <row r="176" spans="2:18" x14ac:dyDescent="0.2">
      <c r="B176" s="4"/>
      <c r="C176" s="4"/>
      <c r="D176" s="4"/>
      <c r="E176" s="4"/>
      <c r="F176" s="4"/>
      <c r="G176" s="4"/>
      <c r="H176" s="4"/>
      <c r="I176" s="2"/>
      <c r="J176" s="4"/>
      <c r="K176" s="4"/>
      <c r="L176" s="10"/>
      <c r="M176" s="2"/>
      <c r="N176" s="2"/>
    </row>
    <row r="177" spans="2:15" x14ac:dyDescent="0.2">
      <c r="B177" s="4"/>
      <c r="C177" s="4"/>
      <c r="D177" s="4"/>
      <c r="E177" s="4"/>
      <c r="F177" s="4"/>
      <c r="G177" s="4"/>
      <c r="H177" s="4"/>
      <c r="I177" s="2"/>
      <c r="J177" s="4"/>
      <c r="K177" s="4"/>
      <c r="L177" s="10"/>
      <c r="M177" s="2"/>
      <c r="N177" s="2"/>
    </row>
    <row r="178" spans="2:15" x14ac:dyDescent="0.2">
      <c r="B178" s="4"/>
      <c r="C178" s="4"/>
      <c r="D178" s="4"/>
      <c r="E178" s="4"/>
      <c r="F178" s="4"/>
      <c r="G178" s="4"/>
      <c r="H178" s="4"/>
      <c r="I178" s="2"/>
      <c r="J178" s="4"/>
      <c r="K178" s="4"/>
      <c r="L178" s="10"/>
      <c r="M178" s="2"/>
      <c r="N178" s="2"/>
    </row>
    <row r="179" spans="2:15" x14ac:dyDescent="0.2">
      <c r="B179" s="4"/>
      <c r="C179" s="4"/>
      <c r="D179" s="4"/>
      <c r="E179" s="4"/>
      <c r="F179" s="4"/>
      <c r="G179" s="4"/>
      <c r="H179" s="4"/>
      <c r="I179" s="2"/>
      <c r="J179" s="4"/>
      <c r="K179" s="4"/>
      <c r="L179" s="10"/>
      <c r="M179" s="2"/>
      <c r="N179" s="2"/>
    </row>
    <row r="180" spans="2:15" x14ac:dyDescent="0.2">
      <c r="B180" s="4"/>
      <c r="C180" s="4"/>
      <c r="D180" s="4"/>
      <c r="E180" s="4"/>
      <c r="F180" s="4"/>
      <c r="G180" s="4"/>
      <c r="H180" s="4"/>
      <c r="I180" s="2"/>
      <c r="J180" s="4"/>
      <c r="K180" s="4"/>
      <c r="L180" s="10"/>
      <c r="M180" s="2"/>
      <c r="N180" s="2"/>
      <c r="O180" s="4"/>
    </row>
    <row r="181" spans="2:15" x14ac:dyDescent="0.2">
      <c r="B181" s="4"/>
      <c r="C181" s="4"/>
      <c r="D181" s="4"/>
      <c r="E181" s="4"/>
      <c r="F181" s="4"/>
      <c r="G181" s="4"/>
      <c r="H181" s="4"/>
      <c r="I181" s="2"/>
      <c r="J181" s="4"/>
      <c r="K181" s="4"/>
      <c r="L181" s="10"/>
      <c r="M181" s="2"/>
      <c r="N181" s="2"/>
      <c r="O181" s="4"/>
    </row>
    <row r="182" spans="2:15" x14ac:dyDescent="0.2">
      <c r="B182" s="4"/>
      <c r="C182" s="4"/>
      <c r="D182" s="4"/>
      <c r="E182" s="4"/>
      <c r="F182" s="4"/>
      <c r="G182" s="4"/>
      <c r="H182" s="4"/>
      <c r="I182" s="2"/>
      <c r="J182" s="4"/>
      <c r="K182" s="4"/>
      <c r="L182" s="10"/>
      <c r="M182" s="2"/>
      <c r="N182" s="2"/>
      <c r="O182" s="4"/>
    </row>
    <row r="183" spans="2:15" x14ac:dyDescent="0.2">
      <c r="B183" s="4"/>
      <c r="C183" s="4"/>
      <c r="D183" s="4"/>
      <c r="E183" s="4"/>
      <c r="F183" s="4"/>
      <c r="G183" s="4"/>
      <c r="H183" s="4"/>
      <c r="I183" s="2"/>
      <c r="J183" s="4"/>
      <c r="K183" s="4"/>
      <c r="L183" s="10"/>
      <c r="M183" s="2"/>
      <c r="N183" s="2"/>
      <c r="O183" s="4"/>
    </row>
    <row r="184" spans="2:15" x14ac:dyDescent="0.2">
      <c r="B184" s="4"/>
      <c r="C184" s="4"/>
      <c r="D184" s="4"/>
      <c r="E184" s="4"/>
      <c r="F184" s="4"/>
      <c r="G184" s="4"/>
      <c r="H184" s="4"/>
      <c r="I184" s="2"/>
      <c r="J184" s="4"/>
      <c r="K184" s="4"/>
      <c r="L184" s="10"/>
      <c r="M184" s="2"/>
      <c r="N184" s="2"/>
      <c r="O184" s="4"/>
    </row>
    <row r="185" spans="2:15" x14ac:dyDescent="0.2">
      <c r="B185" s="4"/>
      <c r="C185" s="4"/>
      <c r="D185" s="4"/>
      <c r="E185" s="4"/>
      <c r="F185" s="4"/>
      <c r="G185" s="4"/>
      <c r="H185" s="4"/>
      <c r="I185" s="2"/>
      <c r="J185" s="4"/>
      <c r="K185" s="4"/>
      <c r="L185" s="10"/>
      <c r="M185" s="2"/>
      <c r="N185" s="2"/>
      <c r="O185" s="4"/>
    </row>
    <row r="186" spans="2:15" x14ac:dyDescent="0.2">
      <c r="B186" s="4"/>
      <c r="C186" s="4"/>
      <c r="D186" s="4"/>
      <c r="E186" s="4"/>
      <c r="F186" s="4"/>
      <c r="G186" s="4"/>
      <c r="H186" s="4"/>
      <c r="I186" s="2"/>
      <c r="J186" s="4"/>
      <c r="K186" s="4"/>
      <c r="L186" s="10"/>
      <c r="M186" s="2"/>
      <c r="N186" s="2"/>
      <c r="O186" s="4"/>
    </row>
    <row r="187" spans="2:15" x14ac:dyDescent="0.2">
      <c r="B187" s="4"/>
      <c r="C187" s="4"/>
      <c r="D187" s="4"/>
      <c r="E187" s="4"/>
      <c r="F187" s="4"/>
      <c r="G187" s="4"/>
      <c r="H187" s="4"/>
      <c r="I187" s="2"/>
      <c r="J187" s="4"/>
      <c r="K187" s="4"/>
      <c r="L187" s="10"/>
      <c r="M187" s="2"/>
      <c r="N187" s="2"/>
      <c r="O187" s="4"/>
    </row>
    <row r="188" spans="2:15" x14ac:dyDescent="0.2">
      <c r="B188" s="4"/>
      <c r="C188" s="4"/>
      <c r="D188" s="4"/>
      <c r="E188" s="4"/>
      <c r="F188" s="4"/>
      <c r="G188" s="4"/>
      <c r="H188" s="4"/>
      <c r="I188" s="2"/>
      <c r="J188" s="4"/>
      <c r="K188" s="4"/>
      <c r="L188" s="10"/>
      <c r="M188" s="2"/>
      <c r="N188" s="2"/>
      <c r="O188" s="4"/>
    </row>
    <row r="189" spans="2:15" x14ac:dyDescent="0.2">
      <c r="B189" s="4"/>
      <c r="C189" s="4"/>
      <c r="D189" s="4"/>
      <c r="E189" s="4"/>
      <c r="F189" s="4"/>
      <c r="G189" s="4"/>
      <c r="H189" s="4"/>
      <c r="I189" s="2"/>
      <c r="J189" s="4"/>
      <c r="K189" s="4"/>
      <c r="L189" s="10"/>
      <c r="M189" s="2"/>
      <c r="N189" s="2"/>
      <c r="O189" s="4"/>
    </row>
    <row r="190" spans="2:15" x14ac:dyDescent="0.2">
      <c r="B190" s="4"/>
      <c r="C190" s="4"/>
      <c r="D190" s="4"/>
      <c r="E190" s="4"/>
      <c r="F190" s="4"/>
      <c r="G190" s="4"/>
      <c r="H190" s="4"/>
      <c r="I190" s="2"/>
      <c r="J190" s="4"/>
      <c r="K190" s="4"/>
      <c r="L190" s="10"/>
      <c r="M190" s="2"/>
      <c r="N190" s="2"/>
      <c r="O190" s="4"/>
    </row>
    <row r="191" spans="2:15" x14ac:dyDescent="0.2">
      <c r="B191" s="4"/>
      <c r="C191" s="4"/>
      <c r="D191" s="4"/>
      <c r="E191" s="4"/>
      <c r="F191" s="4"/>
      <c r="G191" s="4"/>
      <c r="H191" s="4"/>
      <c r="I191" s="2"/>
      <c r="J191" s="4"/>
      <c r="K191" s="4"/>
      <c r="L191" s="10"/>
      <c r="M191" s="2"/>
      <c r="N191" s="2"/>
      <c r="O191" s="4"/>
    </row>
    <row r="192" spans="2:15" x14ac:dyDescent="0.2">
      <c r="B192" s="4"/>
      <c r="C192" s="4"/>
      <c r="D192" s="4"/>
      <c r="E192" s="4"/>
      <c r="F192" s="4"/>
      <c r="G192" s="4"/>
      <c r="H192" s="4"/>
      <c r="I192" s="2"/>
      <c r="J192" s="4"/>
      <c r="K192" s="4"/>
      <c r="L192" s="10"/>
      <c r="M192" s="2"/>
      <c r="N192" s="2"/>
      <c r="O192" s="4"/>
    </row>
    <row r="193" spans="2:15" x14ac:dyDescent="0.2">
      <c r="B193" s="4"/>
      <c r="C193" s="4"/>
      <c r="D193" s="4"/>
      <c r="E193" s="4"/>
      <c r="F193" s="4"/>
      <c r="G193" s="4"/>
      <c r="H193" s="4"/>
      <c r="I193" s="2"/>
      <c r="J193" s="4"/>
      <c r="K193" s="4"/>
      <c r="L193" s="10"/>
      <c r="M193" s="2"/>
      <c r="N193" s="2"/>
      <c r="O193" s="4"/>
    </row>
    <row r="194" spans="2:15" x14ac:dyDescent="0.2">
      <c r="B194" s="4"/>
      <c r="C194" s="4"/>
      <c r="D194" s="4"/>
      <c r="E194" s="4"/>
      <c r="F194" s="4"/>
      <c r="G194" s="4"/>
      <c r="H194" s="4"/>
      <c r="I194" s="2"/>
      <c r="J194" s="4"/>
      <c r="K194" s="4"/>
      <c r="L194" s="10"/>
      <c r="M194" s="2"/>
      <c r="N194" s="2"/>
      <c r="O194" s="4"/>
    </row>
    <row r="195" spans="2:15" x14ac:dyDescent="0.2">
      <c r="B195" s="4"/>
      <c r="C195" s="4"/>
      <c r="D195" s="4"/>
      <c r="E195" s="4"/>
      <c r="F195" s="4"/>
      <c r="G195" s="4"/>
      <c r="H195" s="4"/>
      <c r="I195" s="2"/>
      <c r="J195" s="4"/>
      <c r="K195" s="4"/>
      <c r="L195" s="10"/>
      <c r="M195" s="2"/>
      <c r="N195" s="2"/>
      <c r="O195" s="4"/>
    </row>
    <row r="196" spans="2:15" x14ac:dyDescent="0.2">
      <c r="B196" s="4"/>
      <c r="C196" s="4"/>
      <c r="D196" s="9"/>
      <c r="E196" s="9"/>
      <c r="F196" s="4"/>
      <c r="G196" s="4"/>
      <c r="H196" s="4"/>
      <c r="I196" s="2"/>
      <c r="J196" s="4"/>
      <c r="K196" s="4"/>
      <c r="L196" s="10"/>
      <c r="M196" s="2"/>
      <c r="N196" s="2"/>
      <c r="O196" s="4"/>
    </row>
    <row r="197" spans="2:15" x14ac:dyDescent="0.2">
      <c r="B197" s="4"/>
      <c r="C197" s="4"/>
      <c r="D197" s="9"/>
      <c r="E197" s="9"/>
      <c r="F197" s="4"/>
      <c r="G197" s="4"/>
      <c r="H197" s="4"/>
      <c r="I197" s="2"/>
      <c r="J197" s="4"/>
      <c r="K197" s="4"/>
      <c r="L197" s="10"/>
      <c r="M197" s="2"/>
      <c r="N197" s="2"/>
      <c r="O197" s="4"/>
    </row>
    <row r="198" spans="2:15" x14ac:dyDescent="0.2">
      <c r="B198" s="4"/>
      <c r="C198" s="4"/>
      <c r="D198" s="4"/>
      <c r="E198" s="4"/>
      <c r="F198" s="4"/>
      <c r="G198" s="4"/>
      <c r="H198" s="4"/>
      <c r="I198" s="2"/>
      <c r="J198" s="4"/>
      <c r="K198" s="4"/>
      <c r="L198" s="10"/>
      <c r="M198" s="2"/>
      <c r="N198" s="2"/>
      <c r="O198" s="4"/>
    </row>
    <row r="199" spans="2:15" x14ac:dyDescent="0.2">
      <c r="B199" s="4"/>
      <c r="C199" s="4"/>
      <c r="D199" s="4"/>
      <c r="E199" s="4"/>
      <c r="F199" s="4"/>
      <c r="G199" s="4"/>
      <c r="H199" s="4"/>
      <c r="I199" s="2"/>
      <c r="J199" s="4"/>
      <c r="K199" s="4"/>
      <c r="L199" s="10"/>
      <c r="M199" s="2"/>
      <c r="N199" s="2"/>
      <c r="O199" s="4"/>
    </row>
    <row r="200" spans="2:15" x14ac:dyDescent="0.2">
      <c r="B200" s="4"/>
      <c r="C200" s="4"/>
      <c r="D200" s="4"/>
      <c r="E200" s="4"/>
      <c r="F200" s="4"/>
      <c r="G200" s="4"/>
      <c r="H200" s="4"/>
      <c r="I200" s="2"/>
      <c r="J200" s="4"/>
      <c r="K200" s="4"/>
      <c r="L200" s="10"/>
      <c r="M200" s="2"/>
      <c r="N200" s="2"/>
      <c r="O200" s="4"/>
    </row>
    <row r="201" spans="2:15" x14ac:dyDescent="0.2">
      <c r="B201" s="4"/>
      <c r="C201" s="4"/>
      <c r="D201" s="4"/>
      <c r="E201" s="4"/>
      <c r="F201" s="4"/>
      <c r="G201" s="4"/>
      <c r="H201" s="4"/>
      <c r="I201" s="2"/>
      <c r="J201" s="4"/>
      <c r="K201" s="4"/>
      <c r="L201" s="10"/>
      <c r="M201" s="2"/>
      <c r="N201" s="2"/>
      <c r="O201" s="4"/>
    </row>
    <row r="202" spans="2:15" x14ac:dyDescent="0.2">
      <c r="B202" s="4"/>
      <c r="C202" s="4"/>
      <c r="D202" s="4"/>
      <c r="E202" s="4"/>
      <c r="F202" s="4"/>
      <c r="G202" s="4"/>
      <c r="H202" s="4"/>
      <c r="I202" s="2"/>
      <c r="J202" s="4"/>
      <c r="K202" s="4"/>
      <c r="L202" s="10"/>
      <c r="M202" s="2"/>
      <c r="N202" s="2"/>
      <c r="O202" s="4"/>
    </row>
    <row r="203" spans="2:15" x14ac:dyDescent="0.2">
      <c r="B203" s="4"/>
      <c r="C203" s="4"/>
      <c r="D203" s="4"/>
      <c r="E203" s="4"/>
      <c r="F203" s="4"/>
      <c r="G203" s="4"/>
      <c r="H203" s="4"/>
      <c r="I203" s="2"/>
      <c r="J203" s="4"/>
      <c r="K203" s="4"/>
      <c r="L203" s="10"/>
      <c r="M203" s="2"/>
      <c r="N203" s="2"/>
      <c r="O203" s="4"/>
    </row>
    <row r="204" spans="2:15" x14ac:dyDescent="0.2">
      <c r="B204" s="4"/>
      <c r="C204" s="4"/>
      <c r="D204" s="4"/>
      <c r="E204" s="4"/>
      <c r="F204" s="4"/>
      <c r="G204" s="4"/>
      <c r="H204" s="4"/>
      <c r="I204" s="2"/>
      <c r="J204" s="4"/>
      <c r="K204" s="4"/>
      <c r="L204" s="10"/>
      <c r="M204" s="2"/>
      <c r="N204" s="2"/>
      <c r="O204" s="4"/>
    </row>
    <row r="205" spans="2:15" x14ac:dyDescent="0.2">
      <c r="B205" s="4"/>
      <c r="C205" s="4"/>
      <c r="D205" s="4"/>
      <c r="E205" s="4"/>
      <c r="F205" s="4"/>
      <c r="G205" s="4"/>
      <c r="H205" s="4"/>
      <c r="I205" s="2"/>
      <c r="J205" s="4"/>
      <c r="K205" s="4"/>
      <c r="L205" s="10"/>
      <c r="M205" s="2"/>
      <c r="N205" s="2"/>
      <c r="O205" s="4"/>
    </row>
    <row r="206" spans="2:15" x14ac:dyDescent="0.2">
      <c r="B206" s="4"/>
      <c r="C206" s="4"/>
      <c r="D206" s="4"/>
      <c r="E206" s="4"/>
      <c r="F206" s="4"/>
      <c r="G206" s="4"/>
      <c r="H206" s="4"/>
      <c r="I206" s="2"/>
      <c r="J206" s="4"/>
      <c r="K206" s="4"/>
      <c r="L206" s="10"/>
      <c r="M206" s="2"/>
      <c r="N206" s="2"/>
      <c r="O206" s="4"/>
    </row>
    <row r="207" spans="2:15" x14ac:dyDescent="0.2">
      <c r="B207" s="4"/>
      <c r="C207" s="4"/>
      <c r="D207" s="4"/>
      <c r="E207" s="4"/>
      <c r="F207" s="4"/>
      <c r="G207" s="4"/>
      <c r="H207" s="4"/>
      <c r="I207" s="2"/>
      <c r="J207" s="4"/>
      <c r="K207" s="4"/>
      <c r="L207" s="10"/>
      <c r="M207" s="2"/>
      <c r="N207" s="2"/>
      <c r="O207" s="4"/>
    </row>
    <row r="208" spans="2:15" x14ac:dyDescent="0.2">
      <c r="B208" s="4"/>
      <c r="C208" s="4"/>
      <c r="D208" s="4"/>
      <c r="E208" s="4"/>
      <c r="F208" s="4"/>
      <c r="G208" s="4"/>
      <c r="H208" s="4"/>
      <c r="I208" s="2"/>
      <c r="J208" s="4"/>
      <c r="K208" s="4"/>
      <c r="L208" s="10"/>
      <c r="M208" s="2"/>
      <c r="N208" s="2"/>
      <c r="O208" s="4"/>
    </row>
    <row r="209" spans="1:17" x14ac:dyDescent="0.2">
      <c r="B209" s="4"/>
      <c r="C209" s="4"/>
      <c r="D209" s="4"/>
      <c r="E209" s="4"/>
      <c r="F209" s="4"/>
      <c r="G209" s="4"/>
      <c r="H209" s="4"/>
      <c r="I209" s="2"/>
      <c r="J209" s="4"/>
      <c r="K209" s="4"/>
      <c r="L209" s="10"/>
      <c r="M209" s="2"/>
      <c r="N209" s="2"/>
      <c r="O209" s="4"/>
    </row>
    <row r="210" spans="1:17" x14ac:dyDescent="0.2">
      <c r="B210" s="4"/>
      <c r="C210" s="4"/>
      <c r="D210" s="4"/>
      <c r="E210" s="4"/>
      <c r="F210" s="4"/>
      <c r="G210" s="4"/>
      <c r="H210" s="4"/>
      <c r="I210" s="2"/>
      <c r="J210" s="4"/>
      <c r="K210" s="4"/>
      <c r="L210" s="10"/>
      <c r="M210" s="2"/>
      <c r="N210" s="2"/>
      <c r="O210" s="4"/>
    </row>
    <row r="211" spans="1:17" x14ac:dyDescent="0.2">
      <c r="B211" s="4"/>
      <c r="C211" s="4"/>
      <c r="D211" s="4"/>
      <c r="E211" s="4"/>
      <c r="F211" s="4"/>
      <c r="G211" s="4"/>
      <c r="H211" s="4"/>
      <c r="I211" s="2"/>
      <c r="J211" s="4"/>
      <c r="K211" s="4"/>
      <c r="L211" s="10"/>
      <c r="M211" s="2"/>
      <c r="N211" s="2"/>
      <c r="O211" s="4"/>
    </row>
    <row r="212" spans="1:17" x14ac:dyDescent="0.2">
      <c r="B212" s="4"/>
      <c r="C212" s="4"/>
      <c r="D212" s="4"/>
      <c r="E212" s="4"/>
      <c r="F212" s="4"/>
      <c r="G212" s="4"/>
      <c r="H212" s="4"/>
      <c r="I212" s="2"/>
      <c r="J212" s="4"/>
      <c r="K212" s="4"/>
      <c r="L212" s="10"/>
      <c r="M212" s="2"/>
      <c r="N212" s="2"/>
      <c r="O212" s="4"/>
    </row>
    <row r="213" spans="1:17" x14ac:dyDescent="0.2">
      <c r="B213" s="4"/>
      <c r="C213" s="4"/>
      <c r="D213" s="4"/>
      <c r="E213" s="4"/>
      <c r="F213" s="4"/>
      <c r="G213" s="4"/>
      <c r="H213" s="4"/>
      <c r="I213" s="2"/>
      <c r="J213" s="4"/>
      <c r="K213" s="4"/>
      <c r="L213" s="10"/>
      <c r="M213" s="2"/>
      <c r="N213" s="2"/>
      <c r="O213" s="4"/>
    </row>
    <row r="214" spans="1:17" s="41" customFormat="1" x14ac:dyDescent="0.2">
      <c r="A214" s="38"/>
      <c r="B214" s="38"/>
      <c r="C214" s="4"/>
      <c r="D214" s="38"/>
      <c r="E214" s="38"/>
      <c r="F214" s="38"/>
      <c r="G214" s="38"/>
      <c r="H214" s="38"/>
      <c r="I214" s="39"/>
      <c r="J214" s="38"/>
      <c r="K214" s="38"/>
      <c r="L214" s="40"/>
      <c r="M214" s="39"/>
      <c r="N214" s="39"/>
      <c r="O214" s="4"/>
      <c r="P214" s="42"/>
      <c r="Q214" s="43"/>
    </row>
    <row r="215" spans="1:17" s="41" customFormat="1" x14ac:dyDescent="0.2">
      <c r="A215" s="38"/>
      <c r="B215" s="38"/>
      <c r="C215" s="38"/>
      <c r="D215" s="38"/>
      <c r="E215" s="38"/>
      <c r="F215" s="38"/>
      <c r="G215" s="38"/>
      <c r="H215" s="38"/>
      <c r="I215" s="39"/>
      <c r="J215" s="38"/>
      <c r="K215" s="38"/>
      <c r="L215" s="40"/>
      <c r="M215" s="39"/>
      <c r="N215" s="39"/>
      <c r="O215" s="4"/>
      <c r="P215" s="42"/>
      <c r="Q215" s="43"/>
    </row>
    <row r="216" spans="1:17" x14ac:dyDescent="0.2">
      <c r="B216" s="4"/>
      <c r="C216" s="38"/>
      <c r="D216" s="4"/>
      <c r="E216" s="9"/>
      <c r="F216" s="4"/>
      <c r="G216" s="4"/>
      <c r="H216" s="4"/>
      <c r="I216" s="2"/>
      <c r="J216" s="4"/>
      <c r="K216" s="4"/>
      <c r="L216" s="10"/>
      <c r="M216" s="2"/>
      <c r="N216" s="2"/>
      <c r="O216" s="4"/>
    </row>
    <row r="217" spans="1:17" x14ac:dyDescent="0.2">
      <c r="B217" s="4"/>
      <c r="C217" s="4"/>
      <c r="D217" s="4"/>
      <c r="E217" s="4"/>
      <c r="F217" s="4"/>
      <c r="G217" s="4"/>
      <c r="H217" s="4"/>
      <c r="I217" s="2"/>
      <c r="J217" s="4"/>
      <c r="K217" s="4"/>
      <c r="L217" s="10"/>
      <c r="M217" s="2"/>
      <c r="N217" s="2"/>
      <c r="O217" s="4"/>
    </row>
    <row r="218" spans="1:17" x14ac:dyDescent="0.2">
      <c r="B218" s="4"/>
      <c r="C218" s="4"/>
      <c r="D218" s="4"/>
      <c r="E218" s="4"/>
      <c r="F218" s="4"/>
      <c r="G218" s="4"/>
      <c r="H218" s="4"/>
      <c r="I218" s="2"/>
      <c r="J218" s="4"/>
      <c r="K218" s="4"/>
      <c r="L218" s="10"/>
      <c r="M218" s="2"/>
      <c r="N218" s="2"/>
      <c r="O218" s="4"/>
    </row>
    <row r="219" spans="1:17" x14ac:dyDescent="0.2">
      <c r="B219" s="4"/>
      <c r="C219" s="4"/>
      <c r="D219" s="4"/>
      <c r="E219" s="4"/>
      <c r="F219" s="4"/>
      <c r="G219" s="4"/>
      <c r="H219" s="4"/>
      <c r="I219" s="2"/>
      <c r="J219" s="4"/>
      <c r="K219" s="4"/>
      <c r="L219" s="10"/>
      <c r="M219" s="2"/>
      <c r="N219" s="2"/>
      <c r="O219" s="4"/>
    </row>
    <row r="220" spans="1:17" s="41" customFormat="1" x14ac:dyDescent="0.2">
      <c r="A220" s="38"/>
      <c r="B220" s="38"/>
      <c r="C220" s="4"/>
      <c r="D220" s="38"/>
      <c r="E220" s="38"/>
      <c r="F220" s="38"/>
      <c r="G220" s="38"/>
      <c r="H220" s="38"/>
      <c r="I220" s="39"/>
      <c r="J220" s="38"/>
      <c r="K220" s="38"/>
      <c r="L220" s="40"/>
      <c r="M220" s="39"/>
      <c r="N220" s="39"/>
      <c r="O220" s="4"/>
      <c r="P220" s="42"/>
      <c r="Q220" s="43"/>
    </row>
    <row r="221" spans="1:17" x14ac:dyDescent="0.2">
      <c r="B221" s="4"/>
      <c r="C221" s="38"/>
      <c r="D221" s="4"/>
      <c r="E221" s="4"/>
      <c r="F221" s="4"/>
      <c r="G221" s="4"/>
      <c r="H221" s="4"/>
      <c r="I221" s="2"/>
      <c r="J221" s="4"/>
      <c r="K221" s="4"/>
      <c r="L221" s="10"/>
      <c r="M221" s="2"/>
      <c r="N221" s="2"/>
      <c r="O221" s="4"/>
    </row>
    <row r="222" spans="1:17" x14ac:dyDescent="0.2">
      <c r="B222" s="4"/>
      <c r="C222" s="4"/>
      <c r="D222" s="4"/>
      <c r="E222" s="4"/>
      <c r="F222" s="4"/>
      <c r="G222" s="4"/>
      <c r="H222" s="4"/>
      <c r="I222" s="2"/>
      <c r="J222" s="4"/>
      <c r="K222" s="4"/>
      <c r="L222" s="10"/>
      <c r="M222" s="2"/>
      <c r="N222" s="2"/>
      <c r="O222" s="4"/>
    </row>
    <row r="223" spans="1:17" x14ac:dyDescent="0.2">
      <c r="B223" s="4"/>
      <c r="C223" s="4"/>
      <c r="D223" s="4"/>
      <c r="E223" s="4"/>
      <c r="F223" s="4"/>
      <c r="G223" s="4"/>
      <c r="H223" s="4"/>
      <c r="I223" s="2"/>
      <c r="J223" s="4"/>
      <c r="K223" s="4"/>
      <c r="L223" s="10"/>
      <c r="M223" s="2"/>
      <c r="N223" s="2"/>
      <c r="O223" s="4"/>
    </row>
    <row r="224" spans="1:17" x14ac:dyDescent="0.2">
      <c r="B224" s="4"/>
      <c r="C224" s="4"/>
      <c r="D224" s="4"/>
      <c r="E224" s="4"/>
      <c r="F224" s="4"/>
      <c r="G224" s="4"/>
      <c r="H224" s="4"/>
      <c r="I224" s="2"/>
      <c r="J224" s="4"/>
      <c r="K224" s="4"/>
      <c r="L224" s="10"/>
      <c r="M224" s="2"/>
      <c r="N224" s="2"/>
      <c r="O224" s="4"/>
    </row>
    <row r="225" spans="2:15" x14ac:dyDescent="0.2">
      <c r="B225" s="4"/>
      <c r="C225" s="4"/>
      <c r="D225" s="4"/>
      <c r="E225" s="4"/>
      <c r="F225" s="4"/>
      <c r="G225" s="4"/>
      <c r="H225" s="4"/>
      <c r="I225" s="2"/>
      <c r="J225" s="4"/>
      <c r="K225" s="4"/>
      <c r="L225" s="10"/>
      <c r="M225" s="2"/>
      <c r="N225" s="2"/>
      <c r="O225" s="4"/>
    </row>
    <row r="226" spans="2:15" x14ac:dyDescent="0.2">
      <c r="B226" s="4"/>
      <c r="C226" s="4"/>
      <c r="D226" s="4"/>
      <c r="E226" s="4"/>
      <c r="F226" s="4"/>
      <c r="G226" s="4"/>
      <c r="H226" s="4"/>
      <c r="I226" s="2"/>
      <c r="J226" s="4"/>
      <c r="K226" s="4"/>
      <c r="L226" s="10"/>
      <c r="M226" s="2"/>
      <c r="N226" s="2"/>
      <c r="O226" s="4"/>
    </row>
    <row r="227" spans="2:15" x14ac:dyDescent="0.2">
      <c r="B227" s="4"/>
      <c r="C227" s="4"/>
      <c r="D227" s="4"/>
      <c r="E227" s="4"/>
      <c r="F227" s="4"/>
      <c r="G227" s="4"/>
      <c r="H227" s="4"/>
      <c r="I227" s="2"/>
      <c r="J227" s="4"/>
      <c r="K227" s="4"/>
      <c r="L227" s="10"/>
      <c r="M227" s="2"/>
      <c r="N227" s="2"/>
      <c r="O227" s="4"/>
    </row>
    <row r="228" spans="2:15" x14ac:dyDescent="0.2">
      <c r="B228" s="4"/>
      <c r="C228" s="4"/>
      <c r="D228" s="4"/>
      <c r="E228" s="4"/>
      <c r="F228" s="4"/>
      <c r="G228" s="4"/>
      <c r="H228" s="4"/>
      <c r="I228" s="2"/>
      <c r="J228" s="4"/>
      <c r="K228" s="4"/>
      <c r="L228" s="10"/>
      <c r="M228" s="2"/>
      <c r="N228" s="2"/>
      <c r="O228" s="4"/>
    </row>
    <row r="229" spans="2:15" x14ac:dyDescent="0.2">
      <c r="B229" s="4"/>
      <c r="C229" s="4"/>
      <c r="D229" s="4"/>
      <c r="E229" s="4"/>
      <c r="F229" s="4"/>
      <c r="G229" s="4"/>
      <c r="H229" s="4"/>
      <c r="I229" s="2"/>
      <c r="J229" s="4"/>
      <c r="K229" s="4"/>
      <c r="L229" s="10"/>
      <c r="M229" s="2"/>
      <c r="N229" s="2"/>
    </row>
    <row r="230" spans="2:15" x14ac:dyDescent="0.2">
      <c r="B230" s="4"/>
      <c r="C230" s="4"/>
      <c r="D230" s="4"/>
      <c r="E230" s="4"/>
      <c r="F230" s="4"/>
      <c r="G230" s="4"/>
      <c r="H230" s="4"/>
      <c r="I230" s="2"/>
      <c r="J230" s="4"/>
      <c r="K230" s="4"/>
      <c r="L230" s="10"/>
      <c r="M230" s="2"/>
      <c r="N230" s="2"/>
    </row>
    <row r="231" spans="2:15" x14ac:dyDescent="0.2">
      <c r="B231" s="4"/>
      <c r="C231" s="4"/>
      <c r="D231" s="4"/>
      <c r="E231" s="4"/>
      <c r="F231" s="4"/>
      <c r="G231" s="4"/>
      <c r="H231" s="4"/>
      <c r="I231" s="2"/>
      <c r="J231" s="4"/>
      <c r="K231" s="4"/>
      <c r="L231" s="10"/>
      <c r="M231" s="2"/>
      <c r="N231" s="2"/>
    </row>
    <row r="232" spans="2:15" x14ac:dyDescent="0.2">
      <c r="B232" s="4"/>
      <c r="C232" s="4"/>
      <c r="D232" s="4"/>
      <c r="E232" s="4"/>
      <c r="F232" s="4"/>
      <c r="G232" s="4"/>
      <c r="H232" s="4"/>
      <c r="I232" s="2"/>
      <c r="J232" s="4"/>
      <c r="K232" s="4"/>
      <c r="L232" s="10"/>
      <c r="M232" s="2"/>
      <c r="N232" s="2"/>
    </row>
    <row r="233" spans="2:15" x14ac:dyDescent="0.2">
      <c r="B233" s="4"/>
      <c r="C233" s="4"/>
      <c r="D233" s="4"/>
      <c r="E233" s="4"/>
      <c r="F233" s="4"/>
      <c r="G233" s="4"/>
      <c r="H233" s="4"/>
      <c r="I233" s="2"/>
      <c r="J233" s="4"/>
      <c r="K233" s="4"/>
      <c r="L233" s="10"/>
      <c r="M233" s="2"/>
      <c r="N233" s="2"/>
    </row>
    <row r="234" spans="2:15" x14ac:dyDescent="0.2">
      <c r="B234" s="4"/>
      <c r="C234" s="4"/>
      <c r="D234" s="4"/>
      <c r="E234" s="4"/>
      <c r="F234" s="4"/>
      <c r="G234" s="4"/>
      <c r="H234" s="4"/>
      <c r="I234" s="2"/>
      <c r="J234" s="4"/>
      <c r="K234" s="4"/>
      <c r="L234" s="10"/>
      <c r="M234" s="2"/>
      <c r="N234" s="2"/>
    </row>
    <row r="235" spans="2:15" x14ac:dyDescent="0.2">
      <c r="B235" s="4"/>
      <c r="C235" s="4"/>
      <c r="D235" s="4"/>
      <c r="E235" s="4"/>
      <c r="F235" s="4"/>
      <c r="G235" s="4"/>
      <c r="H235" s="4"/>
      <c r="I235" s="2"/>
      <c r="J235" s="4"/>
      <c r="K235" s="4"/>
      <c r="L235" s="10"/>
      <c r="M235" s="2"/>
      <c r="N235" s="2"/>
    </row>
    <row r="236" spans="2:15" x14ac:dyDescent="0.2">
      <c r="B236" s="4"/>
      <c r="C236" s="4"/>
      <c r="D236" s="4"/>
      <c r="E236" s="4"/>
      <c r="F236" s="4"/>
      <c r="G236" s="4"/>
      <c r="H236" s="4"/>
      <c r="I236" s="2"/>
      <c r="J236" s="4"/>
      <c r="K236" s="4"/>
      <c r="L236" s="10"/>
      <c r="M236" s="2"/>
      <c r="N236" s="2"/>
    </row>
    <row r="237" spans="2:15" x14ac:dyDescent="0.2">
      <c r="B237" s="4"/>
      <c r="C237" s="4"/>
      <c r="D237" s="4"/>
      <c r="E237" s="4"/>
      <c r="F237" s="4"/>
      <c r="G237" s="4"/>
      <c r="H237" s="4"/>
      <c r="I237" s="2"/>
      <c r="J237" s="4"/>
      <c r="K237" s="4"/>
      <c r="L237" s="10"/>
      <c r="M237" s="2"/>
      <c r="N237" s="2"/>
    </row>
    <row r="238" spans="2:15" x14ac:dyDescent="0.2">
      <c r="B238" s="4"/>
      <c r="C238" s="4"/>
      <c r="D238" s="4"/>
      <c r="E238" s="4"/>
      <c r="F238" s="4"/>
      <c r="G238" s="4"/>
      <c r="H238" s="4"/>
      <c r="I238" s="2"/>
      <c r="J238" s="4"/>
      <c r="K238" s="4"/>
      <c r="L238" s="10"/>
      <c r="M238" s="2"/>
      <c r="N238" s="2"/>
    </row>
    <row r="239" spans="2:15" x14ac:dyDescent="0.2">
      <c r="B239" s="4"/>
      <c r="C239" s="4"/>
      <c r="D239" s="4"/>
      <c r="E239" s="4"/>
      <c r="F239" s="4"/>
      <c r="G239" s="4"/>
      <c r="H239" s="4"/>
      <c r="I239" s="2"/>
      <c r="J239" s="4"/>
      <c r="K239" s="4"/>
      <c r="L239" s="10"/>
      <c r="M239" s="2"/>
      <c r="N239" s="2"/>
    </row>
    <row r="240" spans="2:15" x14ac:dyDescent="0.2">
      <c r="B240" s="4"/>
      <c r="C240" s="4"/>
      <c r="D240" s="4"/>
      <c r="E240" s="4"/>
      <c r="F240" s="4"/>
      <c r="G240" s="4"/>
      <c r="H240" s="4"/>
      <c r="I240" s="2"/>
      <c r="J240" s="4"/>
      <c r="K240" s="4"/>
      <c r="L240" s="10"/>
      <c r="M240" s="2"/>
      <c r="N240" s="2"/>
    </row>
    <row r="241" spans="2:14" x14ac:dyDescent="0.2">
      <c r="B241" s="4"/>
      <c r="C241" s="4"/>
      <c r="D241" s="4"/>
      <c r="E241" s="4"/>
      <c r="F241" s="4"/>
      <c r="G241" s="4"/>
      <c r="H241" s="4"/>
      <c r="I241" s="2"/>
      <c r="J241" s="4"/>
      <c r="K241" s="4"/>
      <c r="L241" s="10"/>
      <c r="M241" s="2"/>
      <c r="N241" s="2"/>
    </row>
    <row r="242" spans="2:14" x14ac:dyDescent="0.2">
      <c r="B242" s="4"/>
      <c r="C242" s="4"/>
      <c r="D242" s="4"/>
      <c r="E242" s="4"/>
      <c r="F242" s="4"/>
      <c r="G242" s="4"/>
      <c r="H242" s="4"/>
      <c r="I242" s="2"/>
      <c r="J242" s="4"/>
      <c r="K242" s="4"/>
      <c r="L242" s="10"/>
      <c r="M242" s="2"/>
      <c r="N242" s="2"/>
    </row>
    <row r="243" spans="2:14" x14ac:dyDescent="0.2">
      <c r="B243" s="4"/>
      <c r="C243" s="4"/>
      <c r="D243" s="4"/>
      <c r="E243" s="4"/>
      <c r="F243" s="4"/>
      <c r="G243" s="4"/>
      <c r="H243" s="4"/>
      <c r="I243" s="2"/>
      <c r="J243" s="4"/>
      <c r="K243" s="4"/>
      <c r="L243" s="10"/>
      <c r="M243" s="2"/>
      <c r="N243" s="2"/>
    </row>
    <row r="244" spans="2:14" x14ac:dyDescent="0.2">
      <c r="C244" s="4"/>
    </row>
  </sheetData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 Values Only</vt:lpstr>
      <vt:lpstr>Working sheet</vt:lpstr>
    </vt:vector>
  </TitlesOfParts>
  <Company>Fisheries and Oceans Canada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Fisheries and Oceans Canada</dc:creator>
  <cp:lastModifiedBy>Beazley, Lindsay (DFO/MPO)</cp:lastModifiedBy>
  <dcterms:created xsi:type="dcterms:W3CDTF">2009-06-01T15:20:29Z</dcterms:created>
  <dcterms:modified xsi:type="dcterms:W3CDTF">2025-03-14T18:48:45Z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fb733f-faef-464c-9b6d-731b56f94973_Enabled">
    <vt:lpwstr>true</vt:lpwstr>
  </property>
  <property fmtid="{D5CDD505-2E9C-101B-9397-08002B2CF9AE}" pid="3" name="MSIP_Label_1bfb733f-faef-464c-9b6d-731b56f94973_SetDate">
    <vt:lpwstr>2021-03-12T12:57:28Z</vt:lpwstr>
  </property>
  <property fmtid="{D5CDD505-2E9C-101B-9397-08002B2CF9AE}" pid="4" name="MSIP_Label_1bfb733f-faef-464c-9b6d-731b56f94973_Method">
    <vt:lpwstr>Standard</vt:lpwstr>
  </property>
  <property fmtid="{D5CDD505-2E9C-101B-9397-08002B2CF9AE}" pid="5" name="MSIP_Label_1bfb733f-faef-464c-9b6d-731b56f94973_Name">
    <vt:lpwstr>Unclass - Non-Classifié</vt:lpwstr>
  </property>
  <property fmtid="{D5CDD505-2E9C-101B-9397-08002B2CF9AE}" pid="6" name="MSIP_Label_1bfb733f-faef-464c-9b6d-731b56f94973_SiteId">
    <vt:lpwstr>1594fdae-a1d9-4405-915d-011467234338</vt:lpwstr>
  </property>
  <property fmtid="{D5CDD505-2E9C-101B-9397-08002B2CF9AE}" pid="7" name="MSIP_Label_1bfb733f-faef-464c-9b6d-731b56f94973_ActionId">
    <vt:lpwstr>ae5003be-36b8-4907-bbaf-0000ffd44b47</vt:lpwstr>
  </property>
</Properties>
</file>