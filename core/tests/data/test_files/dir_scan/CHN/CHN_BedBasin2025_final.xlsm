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-120" yWindow="-120" windowWidth="29040" windowHeight="15720"/>
  </bookViews>
  <sheets>
    <sheet name="C" sheetId="3" r:id="rId1"/>
    <sheet name="D" sheetId="4" r:id="rId2"/>
    <sheet name="E" sheetId="5" r:id="rId3"/>
    <sheet name="F" sheetId="6" r:id="rId4"/>
    <sheet name="G" sheetId="7" r:id="rId5"/>
    <sheet name="H" sheetId="8" r:id="rId6"/>
    <sheet name="I" sheetId="9" r:id="rId7"/>
    <sheet name="J" sheetId="10" r:id="rId8"/>
    <sheet name="K" sheetId="11" r:id="rId9"/>
    <sheet name="L" sheetId="12" r:id="rId10"/>
    <sheet name="M" sheetId="13" r:id="rId11"/>
    <sheet name="N" sheetId="14" r:id="rId12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09" i="3" l="1"/>
  <c r="F209" i="3"/>
  <c r="E209" i="3"/>
  <c r="G208" i="3"/>
  <c r="F208" i="3"/>
  <c r="E208" i="3"/>
  <c r="G207" i="3"/>
  <c r="F207" i="3"/>
  <c r="E207" i="3"/>
  <c r="G206" i="3"/>
  <c r="F206" i="3"/>
  <c r="E206" i="3"/>
  <c r="G205" i="3"/>
  <c r="F205" i="3"/>
  <c r="E205" i="3"/>
  <c r="G204" i="3"/>
  <c r="F204" i="3"/>
  <c r="E204" i="3"/>
  <c r="G203" i="3"/>
  <c r="F203" i="3"/>
  <c r="E203" i="3"/>
  <c r="G202" i="3"/>
  <c r="F202" i="3"/>
  <c r="E202" i="3"/>
  <c r="G201" i="3"/>
  <c r="F201" i="3"/>
  <c r="E201" i="3"/>
  <c r="G200" i="3"/>
  <c r="F200" i="3"/>
  <c r="E200" i="3"/>
  <c r="G199" i="3"/>
  <c r="F199" i="3"/>
  <c r="E199" i="3"/>
  <c r="G198" i="3"/>
  <c r="F198" i="3"/>
  <c r="E198" i="3"/>
  <c r="G197" i="3"/>
  <c r="F197" i="3"/>
  <c r="E197" i="3"/>
  <c r="G195" i="3"/>
  <c r="F195" i="3"/>
  <c r="E195" i="3"/>
  <c r="G193" i="3"/>
  <c r="F193" i="3"/>
  <c r="E193" i="3"/>
  <c r="G191" i="3"/>
  <c r="F191" i="3"/>
  <c r="E191" i="3"/>
  <c r="G189" i="3"/>
  <c r="F189" i="3"/>
  <c r="E189" i="3"/>
  <c r="G187" i="3"/>
  <c r="F187" i="3"/>
  <c r="E187" i="3"/>
  <c r="G185" i="3"/>
  <c r="F185" i="3"/>
  <c r="E185" i="3"/>
  <c r="G183" i="3"/>
  <c r="F183" i="3"/>
  <c r="E183" i="3"/>
  <c r="G181" i="3"/>
  <c r="F181" i="3"/>
  <c r="E181" i="3"/>
  <c r="G179" i="3"/>
  <c r="F179" i="3"/>
  <c r="E179" i="3"/>
  <c r="G177" i="3"/>
  <c r="F177" i="3"/>
  <c r="E177" i="3"/>
  <c r="G175" i="3"/>
  <c r="F175" i="3"/>
  <c r="E175" i="3"/>
  <c r="G173" i="3"/>
  <c r="F173" i="3"/>
  <c r="E173" i="3"/>
  <c r="G171" i="3"/>
  <c r="F171" i="3"/>
  <c r="E171" i="3"/>
  <c r="G169" i="3"/>
  <c r="F169" i="3"/>
  <c r="E169" i="3"/>
  <c r="G167" i="3"/>
  <c r="F167" i="3"/>
  <c r="E167" i="3"/>
  <c r="G165" i="3"/>
  <c r="F165" i="3"/>
  <c r="E165" i="3"/>
  <c r="G163" i="3"/>
  <c r="F163" i="3"/>
  <c r="E163" i="3"/>
  <c r="G161" i="3"/>
  <c r="F161" i="3"/>
  <c r="E161" i="3"/>
  <c r="G159" i="3"/>
  <c r="F159" i="3"/>
  <c r="E159" i="3"/>
  <c r="G157" i="3"/>
  <c r="F157" i="3"/>
  <c r="E157" i="3"/>
  <c r="G155" i="3"/>
  <c r="F155" i="3"/>
  <c r="E155" i="3"/>
  <c r="G153" i="3"/>
  <c r="F153" i="3"/>
  <c r="E153" i="3"/>
  <c r="G151" i="3"/>
  <c r="F151" i="3"/>
  <c r="E151" i="3"/>
  <c r="G149" i="3"/>
  <c r="F149" i="3"/>
  <c r="E149" i="3"/>
  <c r="G147" i="3"/>
  <c r="F147" i="3"/>
  <c r="E147" i="3"/>
  <c r="G146" i="3"/>
  <c r="F146" i="3"/>
  <c r="E146" i="3"/>
  <c r="G145" i="3"/>
  <c r="F145" i="3"/>
  <c r="E145" i="3"/>
  <c r="G144" i="3"/>
  <c r="F144" i="3"/>
  <c r="E144" i="3"/>
  <c r="G143" i="3"/>
  <c r="F143" i="3"/>
  <c r="E143" i="3"/>
  <c r="G142" i="3"/>
  <c r="F142" i="3"/>
  <c r="E142" i="3"/>
  <c r="G141" i="3"/>
  <c r="F141" i="3"/>
  <c r="E141" i="3"/>
  <c r="G140" i="3"/>
  <c r="F140" i="3"/>
  <c r="E140" i="3"/>
  <c r="G139" i="3"/>
  <c r="F139" i="3"/>
  <c r="E139" i="3"/>
  <c r="G138" i="3"/>
  <c r="F138" i="3"/>
  <c r="E138" i="3"/>
  <c r="G137" i="3"/>
  <c r="F137" i="3"/>
  <c r="E137" i="3"/>
  <c r="G136" i="3"/>
  <c r="F136" i="3"/>
  <c r="E136" i="3"/>
  <c r="G135" i="3"/>
  <c r="F135" i="3"/>
  <c r="E135" i="3"/>
  <c r="G134" i="3"/>
  <c r="F134" i="3"/>
  <c r="E134" i="3"/>
  <c r="G133" i="3"/>
  <c r="F133" i="3"/>
  <c r="E133" i="3"/>
  <c r="G132" i="3"/>
  <c r="F132" i="3"/>
  <c r="E132" i="3"/>
  <c r="G131" i="3"/>
  <c r="F131" i="3"/>
  <c r="E131" i="3"/>
  <c r="G130" i="3"/>
  <c r="F130" i="3"/>
  <c r="E130" i="3"/>
  <c r="G129" i="3"/>
  <c r="F129" i="3"/>
  <c r="E129" i="3"/>
  <c r="G128" i="3"/>
  <c r="F128" i="3"/>
  <c r="E128" i="3"/>
  <c r="G127" i="3"/>
  <c r="F127" i="3"/>
  <c r="E127" i="3"/>
  <c r="G126" i="3"/>
  <c r="F126" i="3"/>
  <c r="E126" i="3"/>
  <c r="G125" i="3"/>
  <c r="F125" i="3"/>
  <c r="E125" i="3"/>
  <c r="G124" i="3"/>
  <c r="F124" i="3"/>
  <c r="E124" i="3"/>
  <c r="G123" i="3"/>
  <c r="F123" i="3"/>
  <c r="E123" i="3"/>
  <c r="G122" i="3"/>
  <c r="F122" i="3"/>
  <c r="E122" i="3"/>
  <c r="G121" i="3"/>
  <c r="F121" i="3"/>
  <c r="E121" i="3"/>
  <c r="G120" i="3"/>
  <c r="F120" i="3"/>
  <c r="E120" i="3"/>
  <c r="G119" i="3"/>
  <c r="F119" i="3"/>
  <c r="E119" i="3"/>
  <c r="G118" i="3"/>
  <c r="F118" i="3"/>
  <c r="E118" i="3"/>
  <c r="G117" i="3"/>
  <c r="F117" i="3"/>
  <c r="E117" i="3"/>
  <c r="G116" i="3"/>
  <c r="F116" i="3"/>
  <c r="E116" i="3"/>
  <c r="G115" i="3"/>
  <c r="F115" i="3"/>
  <c r="E115" i="3"/>
  <c r="G114" i="3"/>
  <c r="F114" i="3"/>
  <c r="E114" i="3"/>
  <c r="G113" i="3"/>
  <c r="F113" i="3"/>
  <c r="E113" i="3"/>
  <c r="G112" i="3"/>
  <c r="F112" i="3"/>
  <c r="E112" i="3"/>
  <c r="G111" i="3"/>
  <c r="F111" i="3"/>
  <c r="E111" i="3"/>
  <c r="G110" i="3"/>
  <c r="F110" i="3"/>
  <c r="E110" i="3"/>
  <c r="G109" i="3"/>
  <c r="F109" i="3"/>
  <c r="E109" i="3"/>
  <c r="G108" i="3"/>
  <c r="F108" i="3"/>
  <c r="E108" i="3"/>
  <c r="G107" i="3"/>
  <c r="F107" i="3"/>
  <c r="E107" i="3"/>
  <c r="G106" i="3"/>
  <c r="F106" i="3"/>
  <c r="E106" i="3"/>
  <c r="G105" i="3"/>
  <c r="F105" i="3"/>
  <c r="E105" i="3"/>
  <c r="G104" i="3"/>
  <c r="F104" i="3"/>
  <c r="E104" i="3"/>
  <c r="G103" i="3"/>
  <c r="F103" i="3"/>
  <c r="E103" i="3"/>
  <c r="G102" i="3"/>
  <c r="F102" i="3"/>
  <c r="E102" i="3"/>
  <c r="G101" i="3"/>
  <c r="F101" i="3"/>
  <c r="E101" i="3"/>
  <c r="G100" i="3"/>
  <c r="F100" i="3"/>
  <c r="E100" i="3"/>
  <c r="G99" i="3"/>
  <c r="F99" i="3"/>
  <c r="E99" i="3"/>
  <c r="G98" i="3"/>
  <c r="F98" i="3"/>
  <c r="E98" i="3"/>
  <c r="G97" i="3"/>
  <c r="F97" i="3"/>
  <c r="E97" i="3"/>
  <c r="G96" i="3"/>
  <c r="F96" i="3"/>
  <c r="E96" i="3"/>
  <c r="G95" i="3"/>
  <c r="F95" i="3"/>
  <c r="E95" i="3"/>
  <c r="G94" i="3"/>
  <c r="F94" i="3"/>
  <c r="E94" i="3"/>
  <c r="G93" i="3"/>
  <c r="F93" i="3"/>
  <c r="E93" i="3"/>
  <c r="G92" i="3"/>
  <c r="F92" i="3"/>
  <c r="E92" i="3"/>
  <c r="G91" i="3"/>
  <c r="F91" i="3"/>
  <c r="E91" i="3"/>
  <c r="G90" i="3"/>
  <c r="F90" i="3"/>
  <c r="E90" i="3"/>
  <c r="G89" i="3"/>
  <c r="F89" i="3"/>
  <c r="E89" i="3"/>
  <c r="G88" i="3"/>
  <c r="F88" i="3"/>
  <c r="E88" i="3"/>
  <c r="G87" i="3"/>
  <c r="F87" i="3"/>
  <c r="E87" i="3"/>
  <c r="G86" i="3"/>
  <c r="F86" i="3"/>
  <c r="E86" i="3"/>
  <c r="G85" i="3"/>
  <c r="F85" i="3"/>
  <c r="E85" i="3"/>
  <c r="G84" i="3"/>
  <c r="F84" i="3"/>
  <c r="E84" i="3"/>
  <c r="G83" i="3"/>
  <c r="F83" i="3"/>
  <c r="E83" i="3"/>
  <c r="G82" i="3"/>
  <c r="F82" i="3"/>
  <c r="E82" i="3"/>
  <c r="G81" i="3"/>
  <c r="F81" i="3"/>
  <c r="E81" i="3"/>
  <c r="G80" i="3"/>
  <c r="F80" i="3"/>
  <c r="E80" i="3"/>
  <c r="G79" i="3"/>
  <c r="F79" i="3"/>
  <c r="E79" i="3"/>
  <c r="G78" i="3"/>
  <c r="F78" i="3"/>
  <c r="E78" i="3"/>
  <c r="G77" i="3"/>
  <c r="F77" i="3"/>
  <c r="E77" i="3"/>
  <c r="G76" i="3"/>
  <c r="F76" i="3"/>
  <c r="E76" i="3"/>
  <c r="G75" i="3"/>
  <c r="F75" i="3"/>
  <c r="E75" i="3"/>
  <c r="G74" i="3"/>
  <c r="F74" i="3"/>
  <c r="E74" i="3"/>
  <c r="G73" i="3"/>
  <c r="F73" i="3"/>
  <c r="E73" i="3"/>
  <c r="G72" i="3"/>
  <c r="F72" i="3"/>
  <c r="E72" i="3"/>
  <c r="G71" i="3"/>
  <c r="F71" i="3"/>
  <c r="E71" i="3"/>
  <c r="G70" i="3"/>
  <c r="F70" i="3"/>
  <c r="E70" i="3"/>
  <c r="G69" i="3"/>
  <c r="F69" i="3"/>
  <c r="E69" i="3"/>
  <c r="G68" i="3"/>
  <c r="F68" i="3"/>
  <c r="E68" i="3"/>
  <c r="G67" i="3"/>
  <c r="F67" i="3"/>
  <c r="E67" i="3"/>
  <c r="G66" i="3"/>
  <c r="F66" i="3"/>
  <c r="E66" i="3"/>
  <c r="G65" i="3"/>
  <c r="F65" i="3"/>
  <c r="E65" i="3"/>
  <c r="G64" i="3"/>
  <c r="F64" i="3"/>
  <c r="E64" i="3"/>
  <c r="G63" i="3"/>
  <c r="F63" i="3"/>
  <c r="E63" i="3"/>
  <c r="G62" i="3"/>
  <c r="F62" i="3"/>
  <c r="E62" i="3"/>
  <c r="G61" i="3"/>
  <c r="F61" i="3"/>
  <c r="E61" i="3"/>
  <c r="G60" i="3"/>
  <c r="F60" i="3"/>
  <c r="E60" i="3"/>
  <c r="G59" i="3"/>
  <c r="F59" i="3"/>
  <c r="E59" i="3"/>
  <c r="G58" i="3"/>
  <c r="F58" i="3"/>
  <c r="E58" i="3"/>
  <c r="G57" i="3"/>
  <c r="F57" i="3"/>
  <c r="E57" i="3"/>
  <c r="G56" i="3"/>
  <c r="F56" i="3"/>
  <c r="E56" i="3"/>
  <c r="G55" i="3"/>
  <c r="F55" i="3"/>
  <c r="E55" i="3"/>
  <c r="G54" i="3"/>
  <c r="F54" i="3"/>
  <c r="E54" i="3"/>
  <c r="G53" i="3"/>
  <c r="F53" i="3"/>
  <c r="E53" i="3"/>
  <c r="G52" i="3"/>
  <c r="F52" i="3"/>
  <c r="E52" i="3"/>
  <c r="G51" i="3"/>
  <c r="F51" i="3"/>
  <c r="E51" i="3"/>
  <c r="G50" i="3"/>
  <c r="F50" i="3"/>
  <c r="E50" i="3"/>
  <c r="G49" i="3"/>
  <c r="F49" i="3"/>
  <c r="E49" i="3"/>
  <c r="G48" i="3"/>
  <c r="F48" i="3"/>
  <c r="E48" i="3"/>
  <c r="G47" i="3"/>
  <c r="F47" i="3"/>
  <c r="E47" i="3"/>
  <c r="G46" i="3"/>
  <c r="F46" i="3"/>
  <c r="E46" i="3"/>
  <c r="G45" i="3"/>
  <c r="F45" i="3"/>
  <c r="E45" i="3"/>
  <c r="G44" i="3"/>
  <c r="F44" i="3"/>
  <c r="E44" i="3"/>
  <c r="G43" i="3"/>
  <c r="F43" i="3"/>
  <c r="E43" i="3"/>
  <c r="G42" i="3"/>
  <c r="F42" i="3"/>
  <c r="E42" i="3"/>
  <c r="G41" i="3"/>
  <c r="F41" i="3"/>
  <c r="E41" i="3"/>
  <c r="G40" i="3"/>
  <c r="F40" i="3"/>
  <c r="E40" i="3"/>
  <c r="G39" i="3"/>
  <c r="F39" i="3"/>
  <c r="E39" i="3"/>
  <c r="G38" i="3"/>
  <c r="F38" i="3"/>
  <c r="E38" i="3"/>
  <c r="G37" i="3"/>
  <c r="F37" i="3"/>
  <c r="E37" i="3"/>
  <c r="G36" i="3"/>
  <c r="F36" i="3"/>
  <c r="E36" i="3"/>
  <c r="G35" i="3"/>
  <c r="F35" i="3"/>
  <c r="E35" i="3"/>
  <c r="G34" i="3"/>
  <c r="F34" i="3"/>
  <c r="E34" i="3"/>
  <c r="G33" i="3"/>
  <c r="F33" i="3"/>
  <c r="E33" i="3"/>
  <c r="G32" i="3"/>
  <c r="F32" i="3"/>
  <c r="E32" i="3"/>
  <c r="G31" i="3"/>
  <c r="F31" i="3"/>
  <c r="E31" i="3"/>
  <c r="G30" i="3"/>
  <c r="F30" i="3"/>
  <c r="E30" i="3"/>
  <c r="G29" i="3"/>
  <c r="F29" i="3"/>
  <c r="E29" i="3"/>
  <c r="G28" i="3"/>
  <c r="F28" i="3"/>
  <c r="E28" i="3"/>
  <c r="G27" i="3"/>
  <c r="F27" i="3"/>
  <c r="E27" i="3"/>
  <c r="G26" i="3"/>
  <c r="F26" i="3"/>
  <c r="E26" i="3"/>
  <c r="G25" i="3"/>
  <c r="F25" i="3"/>
  <c r="E25" i="3"/>
  <c r="G24" i="3"/>
  <c r="F24" i="3"/>
  <c r="E24" i="3"/>
  <c r="G23" i="3"/>
  <c r="F23" i="3"/>
  <c r="E23" i="3"/>
  <c r="G22" i="3"/>
  <c r="F22" i="3"/>
  <c r="E22" i="3"/>
  <c r="G21" i="3"/>
  <c r="F21" i="3"/>
  <c r="E21" i="3"/>
  <c r="G20" i="3"/>
  <c r="F20" i="3"/>
  <c r="E20" i="3"/>
  <c r="G19" i="3"/>
  <c r="F19" i="3"/>
  <c r="E19" i="3"/>
  <c r="G18" i="3"/>
  <c r="F18" i="3"/>
  <c r="E18" i="3"/>
  <c r="G17" i="3"/>
  <c r="F17" i="3"/>
  <c r="E17" i="3"/>
  <c r="G16" i="3"/>
  <c r="F16" i="3"/>
  <c r="E16" i="3"/>
  <c r="G15" i="3"/>
  <c r="F15" i="3"/>
  <c r="E15" i="3"/>
  <c r="G14" i="3"/>
  <c r="F14" i="3"/>
  <c r="E14" i="3"/>
  <c r="G13" i="3"/>
  <c r="F13" i="3"/>
  <c r="E13" i="3"/>
  <c r="G12" i="3"/>
  <c r="F12" i="3"/>
  <c r="E12" i="3"/>
  <c r="G11" i="3"/>
  <c r="F11" i="3"/>
  <c r="E11" i="3"/>
  <c r="G10" i="3"/>
  <c r="F10" i="3"/>
  <c r="E10" i="3"/>
  <c r="G9" i="3"/>
  <c r="F9" i="3"/>
  <c r="E9" i="3"/>
  <c r="G8" i="3"/>
  <c r="F8" i="3"/>
  <c r="E8" i="3"/>
  <c r="G7" i="3"/>
  <c r="F7" i="3"/>
  <c r="E7" i="3"/>
  <c r="G6" i="3" l="1"/>
  <c r="F6" i="3"/>
  <c r="E6" i="3"/>
</calcChain>
</file>

<file path=xl/sharedStrings.xml><?xml version="1.0" encoding="utf-8"?>
<sst xmlns="http://schemas.openxmlformats.org/spreadsheetml/2006/main" count="136" uniqueCount="13">
  <si>
    <t>I.D.</t>
  </si>
  <si>
    <t>VOLUME(L)</t>
  </si>
  <si>
    <t>CARBON(micrograms)</t>
  </si>
  <si>
    <t>NITROGEN(micrograms)</t>
  </si>
  <si>
    <t>C/L(micrograms/litre)</t>
  </si>
  <si>
    <t>N/L(micrograms/litre)</t>
  </si>
  <si>
    <t>C/N</t>
  </si>
  <si>
    <t xml:space="preserve">Samples run January </t>
  </si>
  <si>
    <t xml:space="preserve">Bedford Basin 2025- CHN(POC's/PON's) </t>
  </si>
  <si>
    <t>L.S.-lost sample - Reduction tube reagent is spent, nitrogen values are no good. Carbon values are okay</t>
  </si>
  <si>
    <t>L.S</t>
  </si>
  <si>
    <t>L.S.</t>
  </si>
  <si>
    <t>L.S.-lost sample -Ladle jam and eventual break. These duplicates could not be analysed.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</si>
</sst>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;\-&quot;$&quot;#,##0"/>
  </numFmts>
  <fonts count="7" x14ac:knownFonts="1">
    <font>
      <sz val="10"/>
      <name val="Arial"/>
    </font>
    <font>
      <b/>
      <sz val="18"/>
      <name val="Arial"/>
    </font>
    <font>
      <b/>
      <sz val="12"/>
      <name val="Arial"/>
    </font>
    <font>
      <b/>
      <sz val="14"/>
      <name val="Times New Roman"/>
    </font>
    <font>
      <sz val="10"/>
      <name val="Arial"/>
    </font>
    <font>
      <sz val="8"/>
      <name val="Arial"/>
    </font>
    <font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9"/>
      </patternFill>
    </fill>
    <fill>
      <patternFill patternType="solid">
        <fgColor rgb="FFFFFF00"/>
        <bgColor indexed="9"/>
      </patternFill>
    </fill>
    <fill>
      <patternFill patternType="solid">
        <fgColor theme="0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9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8">
    <xf numFmtId="0" fontId="0" fillId="0" borderId="0">
      <alignment vertical="top"/>
    </xf>
    <xf numFmtId="3" fontId="4" fillId="2" borderId="0" applyFont="0" applyFill="0" applyBorder="0" applyAlignment="0" applyProtection="0"/>
    <xf numFmtId="164" fontId="4" fillId="2" borderId="0" applyFont="0" applyFill="0" applyBorder="0" applyAlignment="0" applyProtection="0"/>
    <xf numFmtId="0" fontId="4" fillId="2" borderId="0" applyFont="0" applyFill="0" applyBorder="0" applyAlignment="0" applyProtection="0"/>
    <xf numFmtId="2" fontId="4" fillId="2" borderId="0" applyFont="0" applyFill="0" applyBorder="0" applyAlignment="0" applyProtection="0"/>
    <xf numFmtId="0" fontId="1" fillId="2" borderId="0" applyFont="0" applyFill="0" applyBorder="0" applyAlignment="0" applyProtection="0"/>
    <xf numFmtId="0" fontId="2" fillId="2" borderId="0" applyFont="0" applyFill="0" applyBorder="0" applyAlignment="0" applyProtection="0"/>
    <xf numFmtId="0" fontId="4" fillId="2" borderId="0" applyFont="0" applyFill="0" applyBorder="0" applyAlignment="0" applyProtection="0"/>
  </cellStyleXfs>
  <cellXfs count="23">
    <xf numFmtId="0" fontId="0" fillId="2" borderId="0" xfId="0" applyFill="1" applyAlignment="1"/>
    <xf numFmtId="0" fontId="3" fillId="2" borderId="0" xfId="0" applyFont="1" applyFill="1" applyAlignment="1"/>
    <xf numFmtId="1" fontId="0" fillId="2" borderId="0" xfId="0" applyNumberFormat="1" applyFill="1" applyAlignment="1"/>
    <xf numFmtId="4" fontId="0" fillId="2" borderId="0" xfId="0" applyNumberFormat="1" applyFill="1" applyAlignment="1"/>
    <xf numFmtId="2" fontId="0" fillId="2" borderId="0" xfId="0" applyNumberFormat="1" applyFill="1" applyAlignment="1"/>
    <xf numFmtId="2" fontId="0" fillId="3" borderId="0" xfId="0" applyNumberFormat="1" applyFill="1" applyAlignment="1"/>
    <xf numFmtId="0" fontId="0" fillId="0" borderId="0" xfId="0" applyAlignment="1"/>
    <xf numFmtId="0" fontId="0" fillId="0" borderId="0" xfId="0" applyBorder="1" applyAlignment="1"/>
    <xf numFmtId="2" fontId="0" fillId="2" borderId="0" xfId="0" applyNumberFormat="1" applyFill="1" applyBorder="1" applyAlignment="1"/>
    <xf numFmtId="2" fontId="0" fillId="0" borderId="0" xfId="0" applyNumberFormat="1" applyFill="1" applyBorder="1" applyAlignment="1"/>
    <xf numFmtId="2" fontId="6" fillId="2" borderId="0" xfId="0" applyNumberFormat="1" applyFont="1" applyFill="1" applyAlignment="1"/>
    <xf numFmtId="0" fontId="0" fillId="4" borderId="0" xfId="0" applyFill="1" applyAlignment="1"/>
    <xf numFmtId="2" fontId="0" fillId="4" borderId="0" xfId="0" applyNumberFormat="1" applyFill="1" applyAlignment="1"/>
    <xf numFmtId="2" fontId="0" fillId="5" borderId="0" xfId="0" applyNumberFormat="1" applyFill="1" applyAlignment="1"/>
    <xf numFmtId="0" fontId="0" fillId="3" borderId="0" xfId="0" applyFill="1" applyAlignment="1"/>
    <xf numFmtId="2" fontId="0" fillId="6" borderId="0" xfId="0" applyNumberFormat="1" applyFill="1" applyBorder="1" applyAlignment="1"/>
    <xf numFmtId="2" fontId="6" fillId="3" borderId="0" xfId="0" applyNumberFormat="1" applyFont="1" applyFill="1" applyAlignment="1"/>
    <xf numFmtId="2" fontId="0" fillId="0" borderId="0" xfId="0" applyNumberFormat="1" applyFill="1" applyAlignment="1"/>
    <xf numFmtId="2" fontId="0" fillId="7" borderId="0" xfId="0" applyNumberFormat="1" applyFill="1" applyAlignment="1"/>
    <xf numFmtId="0" fontId="0" fillId="7" borderId="0" xfId="0" applyFill="1" applyAlignment="1"/>
    <xf numFmtId="2" fontId="0" fillId="8" borderId="0" xfId="0" applyNumberFormat="1" applyFill="1" applyBorder="1" applyAlignment="1"/>
    <xf numFmtId="0" fontId="0" fillId="0" borderId="0" xfId="0" applyFill="1" applyAlignment="1"/>
    <xf numFmtId="2" fontId="6" fillId="7" borderId="0" xfId="0" applyNumberFormat="1" applyFont="1" applyFill="1" applyAlignment="1"/>
  </cellXfs>
  <cellStyles count="8">
    <cellStyle name="Comma0" xfId="1"/>
    <cellStyle name="Currency0" xfId="2"/>
    <cellStyle name="Date" xfId="3"/>
    <cellStyle name="Fixed" xfId="4"/>
    <cellStyle name="Heading 1" xfId="5" builtinId="16" customBuiltin="1"/>
    <cellStyle name="Heading 2" xfId="6" builtinId="17" customBuiltin="1"/>
    <cellStyle name="Normal" xfId="0" builtinId="0"/>
    <cellStyle name="Total" xfId="7" builtinId="25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Q209"/>
  <sheetViews>
    <sheetView tabSelected="1" workbookViewId="0">
      <selection activeCell="C196" sqref="C196:G196"/>
    </sheetView>
  </sheetViews>
  <sheetFormatPr defaultRowHeight="12.75" x14ac:dyDescent="0.2"/>
  <cols>
    <col min="1" max="1" width="12.42578125" bestFit="1" customWidth="1"/>
  </cols>
  <sheetData>
    <row r="1" spans="1:17" x14ac:dyDescent="0.2">
      <c r="A1" t="s">
        <v>8</v>
      </c>
      <c r="B1" s="8"/>
      <c r="C1" s="4"/>
      <c r="D1" s="4"/>
      <c r="E1" s="4"/>
      <c r="F1" s="16" t="s">
        <v>9</v>
      </c>
      <c r="G1" s="5"/>
      <c r="H1" s="14"/>
      <c r="I1" s="14"/>
      <c r="J1" s="14"/>
      <c r="K1" s="14"/>
      <c r="L1" s="14"/>
      <c r="M1" s="14"/>
      <c r="N1" s="14"/>
      <c r="O1" s="14"/>
      <c r="P1" s="11"/>
      <c r="Q1" s="11"/>
    </row>
    <row r="2" spans="1:17" x14ac:dyDescent="0.2">
      <c r="B2" s="8"/>
      <c r="C2" s="10" t="s">
        <v>7</v>
      </c>
      <c r="D2" s="4"/>
      <c r="E2" s="4"/>
      <c r="F2" s="18" t="s">
        <v>12</v>
      </c>
      <c r="G2" s="18"/>
      <c r="H2" s="19"/>
      <c r="I2" s="19"/>
      <c r="J2" s="19"/>
      <c r="K2" s="19"/>
      <c r="L2" s="19"/>
      <c r="M2" s="19"/>
    </row>
    <row r="3" spans="1:17" x14ac:dyDescent="0.2">
      <c r="B3" s="8"/>
      <c r="C3" s="4"/>
      <c r="D3" s="4"/>
      <c r="E3" s="4"/>
      <c r="F3" s="4"/>
      <c r="G3" s="4"/>
    </row>
    <row r="4" spans="1:17" x14ac:dyDescent="0.2">
      <c r="A4" t="s">
        <v>0</v>
      </c>
      <c r="B4" s="8" t="s">
        <v>1</v>
      </c>
      <c r="C4" s="4" t="s">
        <v>2</v>
      </c>
      <c r="D4" s="4" t="s">
        <v>3</v>
      </c>
      <c r="E4" s="4" t="s">
        <v>4</v>
      </c>
      <c r="F4" s="4" t="s">
        <v>5</v>
      </c>
      <c r="G4" s="4" t="s">
        <v>6</v>
      </c>
    </row>
    <row r="5" spans="1:17" x14ac:dyDescent="0.2">
      <c r="B5" s="8"/>
      <c r="C5" s="4"/>
      <c r="D5" s="4"/>
      <c r="E5" s="4"/>
      <c r="F5" s="4"/>
      <c r="G5" s="4"/>
    </row>
    <row r="6" spans="1:17" x14ac:dyDescent="0.2">
      <c r="A6">
        <v>500850</v>
      </c>
      <c r="B6" s="9">
        <v>0.3</v>
      </c>
      <c r="C6" s="4">
        <v>64.47</v>
      </c>
      <c r="D6" s="4">
        <v>20.87</v>
      </c>
      <c r="E6" s="4">
        <f>(C6/B6)</f>
        <v>214.9</v>
      </c>
      <c r="F6" s="4">
        <f>(D6/B6)</f>
        <v>69.566666666666677</v>
      </c>
      <c r="G6" s="4">
        <f>(C6/D6)</f>
        <v>3.0891231432678485</v>
      </c>
    </row>
    <row r="7" spans="1:17" x14ac:dyDescent="0.2">
      <c r="A7">
        <v>500850</v>
      </c>
      <c r="B7" s="9">
        <v>0.3</v>
      </c>
      <c r="C7" s="4">
        <v>39.61</v>
      </c>
      <c r="D7" s="4">
        <v>6.64</v>
      </c>
      <c r="E7" s="4">
        <f t="shared" ref="E7:E70" si="0">(C7/B7)</f>
        <v>132.03333333333333</v>
      </c>
      <c r="F7" s="4">
        <f t="shared" ref="F7:F70" si="1">(D7/B7)</f>
        <v>22.133333333333333</v>
      </c>
      <c r="G7" s="4">
        <f t="shared" ref="G7:G70" si="2">(C7/D7)</f>
        <v>5.9653614457831328</v>
      </c>
    </row>
    <row r="8" spans="1:17" x14ac:dyDescent="0.2">
      <c r="A8">
        <v>500852</v>
      </c>
      <c r="B8" s="9">
        <v>0.3</v>
      </c>
      <c r="C8" s="4">
        <v>58.57</v>
      </c>
      <c r="D8" s="4">
        <v>14.81</v>
      </c>
      <c r="E8" s="4">
        <f t="shared" si="0"/>
        <v>195.23333333333335</v>
      </c>
      <c r="F8" s="4">
        <f t="shared" si="1"/>
        <v>49.366666666666667</v>
      </c>
      <c r="G8" s="4">
        <f t="shared" si="2"/>
        <v>3.9547602970965561</v>
      </c>
    </row>
    <row r="9" spans="1:17" x14ac:dyDescent="0.2">
      <c r="A9">
        <v>500852</v>
      </c>
      <c r="B9" s="9">
        <v>0.3</v>
      </c>
      <c r="C9" s="4">
        <v>62.49</v>
      </c>
      <c r="D9" s="4">
        <v>14.13</v>
      </c>
      <c r="E9" s="4">
        <f t="shared" si="0"/>
        <v>208.3</v>
      </c>
      <c r="F9" s="4">
        <f t="shared" si="1"/>
        <v>47.1</v>
      </c>
      <c r="G9" s="4">
        <f t="shared" si="2"/>
        <v>4.4225053078556265</v>
      </c>
    </row>
    <row r="10" spans="1:17" x14ac:dyDescent="0.2">
      <c r="A10">
        <v>500855</v>
      </c>
      <c r="B10" s="9">
        <v>0.3</v>
      </c>
      <c r="C10" s="4">
        <v>36.619999999999997</v>
      </c>
      <c r="D10" s="4">
        <v>6.2</v>
      </c>
      <c r="E10" s="4">
        <f t="shared" si="0"/>
        <v>122.06666666666666</v>
      </c>
      <c r="F10" s="4">
        <f t="shared" si="1"/>
        <v>20.666666666666668</v>
      </c>
      <c r="G10" s="4">
        <f t="shared" si="2"/>
        <v>5.9064516129032256</v>
      </c>
    </row>
    <row r="11" spans="1:17" x14ac:dyDescent="0.2">
      <c r="A11">
        <v>500855</v>
      </c>
      <c r="B11" s="9">
        <v>0.3</v>
      </c>
      <c r="C11" s="4">
        <v>33.6</v>
      </c>
      <c r="D11" s="4">
        <v>8.19</v>
      </c>
      <c r="E11" s="4">
        <f t="shared" si="0"/>
        <v>112.00000000000001</v>
      </c>
      <c r="F11" s="4">
        <f t="shared" si="1"/>
        <v>27.3</v>
      </c>
      <c r="G11" s="4">
        <f t="shared" si="2"/>
        <v>4.1025641025641031</v>
      </c>
    </row>
    <row r="12" spans="1:17" x14ac:dyDescent="0.2">
      <c r="A12">
        <v>500857</v>
      </c>
      <c r="B12" s="9">
        <v>0.3</v>
      </c>
      <c r="C12" s="4">
        <v>45.12</v>
      </c>
      <c r="D12" s="4">
        <v>10.86</v>
      </c>
      <c r="E12" s="4">
        <f t="shared" si="0"/>
        <v>150.4</v>
      </c>
      <c r="F12" s="4">
        <f t="shared" si="1"/>
        <v>36.200000000000003</v>
      </c>
      <c r="G12" s="4">
        <f t="shared" si="2"/>
        <v>4.1546961325966851</v>
      </c>
    </row>
    <row r="13" spans="1:17" x14ac:dyDescent="0.2">
      <c r="A13">
        <v>500857</v>
      </c>
      <c r="B13" s="9">
        <v>0.3</v>
      </c>
      <c r="C13" s="4">
        <v>58.82</v>
      </c>
      <c r="D13" s="4">
        <v>11.44</v>
      </c>
      <c r="E13" s="4">
        <f t="shared" si="0"/>
        <v>196.06666666666666</v>
      </c>
      <c r="F13" s="4">
        <f t="shared" si="1"/>
        <v>38.133333333333333</v>
      </c>
      <c r="G13" s="4">
        <f t="shared" si="2"/>
        <v>5.1416083916083917</v>
      </c>
    </row>
    <row r="14" spans="1:17" x14ac:dyDescent="0.2">
      <c r="A14">
        <v>500860</v>
      </c>
      <c r="B14" s="9">
        <v>0.3</v>
      </c>
      <c r="C14" s="4">
        <v>46.55</v>
      </c>
      <c r="D14" s="4">
        <v>8.4600000000000009</v>
      </c>
      <c r="E14" s="4">
        <f t="shared" si="0"/>
        <v>155.16666666666666</v>
      </c>
      <c r="F14" s="4">
        <f t="shared" si="1"/>
        <v>28.200000000000003</v>
      </c>
      <c r="G14" s="4">
        <f t="shared" si="2"/>
        <v>5.5023640661938522</v>
      </c>
    </row>
    <row r="15" spans="1:17" x14ac:dyDescent="0.2">
      <c r="A15">
        <v>500860</v>
      </c>
      <c r="B15" s="9">
        <v>0.3</v>
      </c>
      <c r="C15" s="4">
        <v>47.69</v>
      </c>
      <c r="D15" s="4">
        <v>9.32</v>
      </c>
      <c r="E15" s="4">
        <f t="shared" si="0"/>
        <v>158.96666666666667</v>
      </c>
      <c r="F15" s="4">
        <f t="shared" si="1"/>
        <v>31.06666666666667</v>
      </c>
      <c r="G15" s="4">
        <f t="shared" si="2"/>
        <v>5.1169527896995701</v>
      </c>
    </row>
    <row r="16" spans="1:17" x14ac:dyDescent="0.2">
      <c r="A16">
        <v>500862</v>
      </c>
      <c r="B16" s="9">
        <v>0.3</v>
      </c>
      <c r="C16" s="4">
        <v>41.5</v>
      </c>
      <c r="D16" s="4">
        <v>11.85</v>
      </c>
      <c r="E16" s="4">
        <f t="shared" si="0"/>
        <v>138.33333333333334</v>
      </c>
      <c r="F16" s="4">
        <f t="shared" si="1"/>
        <v>39.5</v>
      </c>
      <c r="G16" s="4">
        <f t="shared" si="2"/>
        <v>3.5021097046413505</v>
      </c>
    </row>
    <row r="17" spans="1:7" x14ac:dyDescent="0.2">
      <c r="A17">
        <v>500862</v>
      </c>
      <c r="B17" s="9">
        <v>0.3</v>
      </c>
      <c r="C17" s="4">
        <v>50.02</v>
      </c>
      <c r="D17" s="4">
        <v>8.19</v>
      </c>
      <c r="E17" s="4">
        <f t="shared" si="0"/>
        <v>166.73333333333335</v>
      </c>
      <c r="F17" s="4">
        <f t="shared" si="1"/>
        <v>27.3</v>
      </c>
      <c r="G17" s="4">
        <f t="shared" si="2"/>
        <v>6.107448107448108</v>
      </c>
    </row>
    <row r="18" spans="1:7" x14ac:dyDescent="0.2">
      <c r="A18">
        <v>500865</v>
      </c>
      <c r="B18" s="9">
        <v>0.3</v>
      </c>
      <c r="C18" s="4">
        <v>34.380000000000003</v>
      </c>
      <c r="D18" s="4">
        <v>8.8800000000000008</v>
      </c>
      <c r="E18" s="4">
        <f t="shared" si="0"/>
        <v>114.60000000000001</v>
      </c>
      <c r="F18" s="4">
        <f t="shared" si="1"/>
        <v>29.600000000000005</v>
      </c>
      <c r="G18" s="4">
        <f t="shared" si="2"/>
        <v>3.8716216216216215</v>
      </c>
    </row>
    <row r="19" spans="1:7" x14ac:dyDescent="0.2">
      <c r="A19">
        <v>500865</v>
      </c>
      <c r="B19" s="9">
        <v>0.3</v>
      </c>
      <c r="C19" s="4">
        <v>39.450000000000003</v>
      </c>
      <c r="D19" s="4">
        <v>5.79</v>
      </c>
      <c r="E19" s="4">
        <f t="shared" si="0"/>
        <v>131.50000000000003</v>
      </c>
      <c r="F19" s="4">
        <f t="shared" si="1"/>
        <v>19.3</v>
      </c>
      <c r="G19" s="4">
        <f t="shared" si="2"/>
        <v>6.8134715025906738</v>
      </c>
    </row>
    <row r="20" spans="1:7" x14ac:dyDescent="0.2">
      <c r="A20">
        <v>500867</v>
      </c>
      <c r="B20" s="9">
        <v>0.3</v>
      </c>
      <c r="C20" s="4">
        <v>72.260000000000005</v>
      </c>
      <c r="D20" s="4">
        <v>14.38</v>
      </c>
      <c r="E20" s="4">
        <f t="shared" si="0"/>
        <v>240.8666666666667</v>
      </c>
      <c r="F20" s="4">
        <f t="shared" si="1"/>
        <v>47.933333333333337</v>
      </c>
      <c r="G20" s="4">
        <f t="shared" si="2"/>
        <v>5.0250347705146039</v>
      </c>
    </row>
    <row r="21" spans="1:7" x14ac:dyDescent="0.2">
      <c r="A21">
        <v>500867</v>
      </c>
      <c r="B21" s="9">
        <v>0.3</v>
      </c>
      <c r="C21" s="4">
        <v>67.569999999999993</v>
      </c>
      <c r="D21" s="4">
        <v>11.02</v>
      </c>
      <c r="E21" s="4">
        <f t="shared" si="0"/>
        <v>225.23333333333332</v>
      </c>
      <c r="F21" s="4">
        <f t="shared" si="1"/>
        <v>36.733333333333334</v>
      </c>
      <c r="G21" s="4">
        <f t="shared" si="2"/>
        <v>6.1315789473684204</v>
      </c>
    </row>
    <row r="22" spans="1:7" x14ac:dyDescent="0.2">
      <c r="A22">
        <v>500870</v>
      </c>
      <c r="B22" s="9">
        <v>0.3</v>
      </c>
      <c r="C22" s="4">
        <v>33.76</v>
      </c>
      <c r="D22" s="4">
        <v>6.06</v>
      </c>
      <c r="E22" s="4">
        <f t="shared" si="0"/>
        <v>112.53333333333333</v>
      </c>
      <c r="F22" s="4">
        <f t="shared" si="1"/>
        <v>20.2</v>
      </c>
      <c r="G22" s="4">
        <f t="shared" si="2"/>
        <v>5.5709570957095709</v>
      </c>
    </row>
    <row r="23" spans="1:7" x14ac:dyDescent="0.2">
      <c r="A23">
        <v>500870</v>
      </c>
      <c r="B23" s="9">
        <v>0.3</v>
      </c>
      <c r="C23" s="4">
        <v>29.1</v>
      </c>
      <c r="D23" s="4">
        <v>5.37</v>
      </c>
      <c r="E23" s="4">
        <f t="shared" si="0"/>
        <v>97.000000000000014</v>
      </c>
      <c r="F23" s="4">
        <f t="shared" si="1"/>
        <v>17.900000000000002</v>
      </c>
      <c r="G23" s="4">
        <f t="shared" si="2"/>
        <v>5.4189944134078214</v>
      </c>
    </row>
    <row r="24" spans="1:7" x14ac:dyDescent="0.2">
      <c r="A24">
        <v>500872</v>
      </c>
      <c r="B24" s="9">
        <v>0.3</v>
      </c>
      <c r="C24" s="4">
        <v>48.33</v>
      </c>
      <c r="D24" s="4">
        <v>9.8699999999999992</v>
      </c>
      <c r="E24" s="4">
        <f t="shared" si="0"/>
        <v>161.1</v>
      </c>
      <c r="F24" s="4">
        <f t="shared" si="1"/>
        <v>32.9</v>
      </c>
      <c r="G24" s="4">
        <f t="shared" si="2"/>
        <v>4.8966565349544071</v>
      </c>
    </row>
    <row r="25" spans="1:7" x14ac:dyDescent="0.2">
      <c r="A25">
        <v>500872</v>
      </c>
      <c r="B25" s="9">
        <v>0.3</v>
      </c>
      <c r="C25" s="4">
        <v>55.71</v>
      </c>
      <c r="D25" s="4">
        <v>8.19</v>
      </c>
      <c r="E25" s="4">
        <f t="shared" si="0"/>
        <v>185.70000000000002</v>
      </c>
      <c r="F25" s="4">
        <f t="shared" si="1"/>
        <v>27.3</v>
      </c>
      <c r="G25" s="4">
        <f t="shared" si="2"/>
        <v>6.8021978021978029</v>
      </c>
    </row>
    <row r="26" spans="1:7" x14ac:dyDescent="0.2">
      <c r="A26">
        <v>500875</v>
      </c>
      <c r="B26" s="9">
        <v>0.3</v>
      </c>
      <c r="C26" s="4">
        <v>34.729999999999997</v>
      </c>
      <c r="D26" s="4">
        <v>5.64</v>
      </c>
      <c r="E26" s="4">
        <f t="shared" si="0"/>
        <v>115.76666666666667</v>
      </c>
      <c r="F26" s="4">
        <f t="shared" si="1"/>
        <v>18.8</v>
      </c>
      <c r="G26" s="4">
        <f t="shared" si="2"/>
        <v>6.1578014184397158</v>
      </c>
    </row>
    <row r="27" spans="1:7" x14ac:dyDescent="0.2">
      <c r="A27">
        <v>500875</v>
      </c>
      <c r="B27" s="9">
        <v>0.3</v>
      </c>
      <c r="C27" s="4">
        <v>35.36</v>
      </c>
      <c r="D27" s="4">
        <v>5.23</v>
      </c>
      <c r="E27" s="4">
        <f t="shared" si="0"/>
        <v>117.86666666666667</v>
      </c>
      <c r="F27" s="4">
        <f t="shared" si="1"/>
        <v>17.433333333333337</v>
      </c>
      <c r="G27" s="4">
        <f t="shared" si="2"/>
        <v>6.7609942638623322</v>
      </c>
    </row>
    <row r="28" spans="1:7" x14ac:dyDescent="0.2">
      <c r="A28">
        <v>500877</v>
      </c>
      <c r="B28" s="9">
        <v>0.3</v>
      </c>
      <c r="C28" s="4">
        <v>47.62</v>
      </c>
      <c r="D28" s="4">
        <v>8.4600000000000009</v>
      </c>
      <c r="E28" s="4">
        <f t="shared" si="0"/>
        <v>158.73333333333332</v>
      </c>
      <c r="F28" s="4">
        <f t="shared" si="1"/>
        <v>28.200000000000003</v>
      </c>
      <c r="G28" s="4">
        <f t="shared" si="2"/>
        <v>5.6288416075650112</v>
      </c>
    </row>
    <row r="29" spans="1:7" x14ac:dyDescent="0.2">
      <c r="A29">
        <v>500877</v>
      </c>
      <c r="B29" s="9">
        <v>0.3</v>
      </c>
      <c r="C29" s="4">
        <v>64.67</v>
      </c>
      <c r="D29" s="4">
        <v>14.69</v>
      </c>
      <c r="E29" s="4">
        <f t="shared" si="0"/>
        <v>215.56666666666669</v>
      </c>
      <c r="F29" s="4">
        <f t="shared" si="1"/>
        <v>48.966666666666669</v>
      </c>
      <c r="G29" s="4">
        <f t="shared" si="2"/>
        <v>4.4023144996596324</v>
      </c>
    </row>
    <row r="30" spans="1:7" x14ac:dyDescent="0.2">
      <c r="A30">
        <v>500880</v>
      </c>
      <c r="B30" s="9">
        <v>0.3</v>
      </c>
      <c r="C30" s="4">
        <v>49.91</v>
      </c>
      <c r="D30" s="4">
        <v>7.19</v>
      </c>
      <c r="E30" s="4">
        <f t="shared" si="0"/>
        <v>166.36666666666667</v>
      </c>
      <c r="F30" s="4">
        <f t="shared" si="1"/>
        <v>23.966666666666669</v>
      </c>
      <c r="G30" s="4">
        <f t="shared" si="2"/>
        <v>6.9415855354659239</v>
      </c>
    </row>
    <row r="31" spans="1:7" x14ac:dyDescent="0.2">
      <c r="A31">
        <v>500880</v>
      </c>
      <c r="B31" s="9">
        <v>0.3</v>
      </c>
      <c r="C31" s="4">
        <v>41.21</v>
      </c>
      <c r="D31" s="4">
        <v>9.75</v>
      </c>
      <c r="E31" s="4">
        <f t="shared" si="0"/>
        <v>137.36666666666667</v>
      </c>
      <c r="F31" s="4">
        <f t="shared" si="1"/>
        <v>32.5</v>
      </c>
      <c r="G31" s="4">
        <f t="shared" si="2"/>
        <v>4.2266666666666666</v>
      </c>
    </row>
    <row r="32" spans="1:7" x14ac:dyDescent="0.2">
      <c r="A32">
        <v>500882</v>
      </c>
      <c r="B32" s="9">
        <v>0.3</v>
      </c>
      <c r="C32" s="4">
        <v>63.76</v>
      </c>
      <c r="D32" s="4">
        <v>13.54</v>
      </c>
      <c r="E32" s="4">
        <f t="shared" si="0"/>
        <v>212.53333333333333</v>
      </c>
      <c r="F32" s="4">
        <f t="shared" si="1"/>
        <v>45.133333333333333</v>
      </c>
      <c r="G32" s="4">
        <f t="shared" si="2"/>
        <v>4.709010339734121</v>
      </c>
    </row>
    <row r="33" spans="1:7" x14ac:dyDescent="0.2">
      <c r="A33">
        <v>500882</v>
      </c>
      <c r="B33" s="9">
        <v>0.3</v>
      </c>
      <c r="C33" s="4">
        <v>58.09</v>
      </c>
      <c r="D33" s="4">
        <v>10.029999999999999</v>
      </c>
      <c r="E33" s="4">
        <f t="shared" si="0"/>
        <v>193.63333333333335</v>
      </c>
      <c r="F33" s="4">
        <f t="shared" si="1"/>
        <v>33.43333333333333</v>
      </c>
      <c r="G33" s="4">
        <f t="shared" si="2"/>
        <v>5.7916251246261226</v>
      </c>
    </row>
    <row r="34" spans="1:7" x14ac:dyDescent="0.2">
      <c r="A34">
        <v>500885</v>
      </c>
      <c r="B34" s="9">
        <v>0.3</v>
      </c>
      <c r="C34" s="4">
        <v>103.7</v>
      </c>
      <c r="D34" s="4">
        <v>14.24</v>
      </c>
      <c r="E34" s="4">
        <f t="shared" si="0"/>
        <v>345.66666666666669</v>
      </c>
      <c r="F34" s="4">
        <f t="shared" si="1"/>
        <v>47.466666666666669</v>
      </c>
      <c r="G34" s="4">
        <f t="shared" si="2"/>
        <v>7.2823033707865168</v>
      </c>
    </row>
    <row r="35" spans="1:7" x14ac:dyDescent="0.2">
      <c r="A35">
        <v>500885</v>
      </c>
      <c r="B35" s="9">
        <v>0.3</v>
      </c>
      <c r="C35" s="4">
        <v>118.9</v>
      </c>
      <c r="D35" s="4">
        <v>13.56</v>
      </c>
      <c r="E35" s="4">
        <f t="shared" si="0"/>
        <v>396.33333333333337</v>
      </c>
      <c r="F35" s="4">
        <f t="shared" si="1"/>
        <v>45.2</v>
      </c>
      <c r="G35" s="4">
        <f t="shared" si="2"/>
        <v>8.7684365781710909</v>
      </c>
    </row>
    <row r="36" spans="1:7" x14ac:dyDescent="0.2">
      <c r="A36">
        <v>500887</v>
      </c>
      <c r="B36" s="9">
        <v>0.3</v>
      </c>
      <c r="C36" s="4">
        <v>99.87</v>
      </c>
      <c r="D36" s="4">
        <v>20.87</v>
      </c>
      <c r="E36" s="4">
        <f t="shared" si="0"/>
        <v>332.90000000000003</v>
      </c>
      <c r="F36" s="4">
        <f t="shared" si="1"/>
        <v>69.566666666666677</v>
      </c>
      <c r="G36" s="4">
        <f t="shared" si="2"/>
        <v>4.7853378054623859</v>
      </c>
    </row>
    <row r="37" spans="1:7" x14ac:dyDescent="0.2">
      <c r="A37">
        <v>500887</v>
      </c>
      <c r="B37" s="9">
        <v>0.3</v>
      </c>
      <c r="C37" s="4">
        <v>81.13</v>
      </c>
      <c r="D37" s="4">
        <v>15.12</v>
      </c>
      <c r="E37" s="4">
        <f t="shared" si="0"/>
        <v>270.43333333333334</v>
      </c>
      <c r="F37" s="4">
        <f t="shared" si="1"/>
        <v>50.4</v>
      </c>
      <c r="G37" s="4">
        <f t="shared" si="2"/>
        <v>5.3657407407407405</v>
      </c>
    </row>
    <row r="38" spans="1:7" x14ac:dyDescent="0.2">
      <c r="A38">
        <v>500890</v>
      </c>
      <c r="B38" s="9">
        <v>0.3</v>
      </c>
      <c r="C38" s="4">
        <v>30</v>
      </c>
      <c r="D38" s="4">
        <v>2.54</v>
      </c>
      <c r="E38" s="4">
        <f t="shared" si="0"/>
        <v>100</v>
      </c>
      <c r="F38" s="4">
        <f t="shared" si="1"/>
        <v>8.4666666666666668</v>
      </c>
      <c r="G38" s="4">
        <f t="shared" si="2"/>
        <v>11.811023622047244</v>
      </c>
    </row>
    <row r="39" spans="1:7" x14ac:dyDescent="0.2">
      <c r="A39">
        <v>500890</v>
      </c>
      <c r="B39" s="9">
        <v>0.3</v>
      </c>
      <c r="C39" s="4">
        <v>39.659999999999997</v>
      </c>
      <c r="D39" s="4">
        <v>7.49</v>
      </c>
      <c r="E39" s="4">
        <f t="shared" si="0"/>
        <v>132.19999999999999</v>
      </c>
      <c r="F39" s="4">
        <f t="shared" si="1"/>
        <v>24.966666666666669</v>
      </c>
      <c r="G39" s="4">
        <f t="shared" si="2"/>
        <v>5.2950600801068086</v>
      </c>
    </row>
    <row r="40" spans="1:7" x14ac:dyDescent="0.2">
      <c r="A40">
        <v>500892</v>
      </c>
      <c r="B40" s="9">
        <v>0.3</v>
      </c>
      <c r="C40" s="4">
        <v>96.91</v>
      </c>
      <c r="D40" s="4">
        <v>19.739999999999998</v>
      </c>
      <c r="E40" s="4">
        <f t="shared" si="0"/>
        <v>323.03333333333336</v>
      </c>
      <c r="F40" s="4">
        <f t="shared" si="1"/>
        <v>65.8</v>
      </c>
      <c r="G40" s="4">
        <f t="shared" si="2"/>
        <v>4.9093211752786221</v>
      </c>
    </row>
    <row r="41" spans="1:7" x14ac:dyDescent="0.2">
      <c r="A41">
        <v>500892</v>
      </c>
      <c r="B41" s="9">
        <v>0.3</v>
      </c>
      <c r="C41" s="4">
        <v>103.1</v>
      </c>
      <c r="D41" s="4">
        <v>18.079999999999998</v>
      </c>
      <c r="E41" s="4">
        <f t="shared" si="0"/>
        <v>343.66666666666669</v>
      </c>
      <c r="F41" s="4">
        <f t="shared" si="1"/>
        <v>60.266666666666666</v>
      </c>
      <c r="G41" s="4">
        <f t="shared" si="2"/>
        <v>5.7024336283185839</v>
      </c>
    </row>
    <row r="42" spans="1:7" x14ac:dyDescent="0.2">
      <c r="A42">
        <v>500895</v>
      </c>
      <c r="B42" s="9">
        <v>0.3</v>
      </c>
      <c r="C42" s="4">
        <v>47.77</v>
      </c>
      <c r="D42" s="4">
        <v>7.33</v>
      </c>
      <c r="E42" s="4">
        <f t="shared" si="0"/>
        <v>159.23333333333335</v>
      </c>
      <c r="F42" s="4">
        <f t="shared" si="1"/>
        <v>24.433333333333334</v>
      </c>
      <c r="G42" s="4">
        <f t="shared" si="2"/>
        <v>6.5170532060027293</v>
      </c>
    </row>
    <row r="43" spans="1:7" x14ac:dyDescent="0.2">
      <c r="A43">
        <v>500895</v>
      </c>
      <c r="B43" s="9">
        <v>0.3</v>
      </c>
      <c r="C43" s="4">
        <v>49.55</v>
      </c>
      <c r="D43" s="4">
        <v>7.63</v>
      </c>
      <c r="E43" s="4">
        <f t="shared" si="0"/>
        <v>165.16666666666666</v>
      </c>
      <c r="F43" s="4">
        <f t="shared" si="1"/>
        <v>25.433333333333334</v>
      </c>
      <c r="G43" s="4">
        <f t="shared" si="2"/>
        <v>6.4941022280471818</v>
      </c>
    </row>
    <row r="44" spans="1:7" x14ac:dyDescent="0.2">
      <c r="A44">
        <v>500897</v>
      </c>
      <c r="B44" s="9">
        <v>0.3</v>
      </c>
      <c r="C44" s="4">
        <v>170.1</v>
      </c>
      <c r="D44" s="4">
        <v>34.549999999999997</v>
      </c>
      <c r="E44" s="4">
        <f t="shared" si="0"/>
        <v>567</v>
      </c>
      <c r="F44" s="4">
        <f t="shared" si="1"/>
        <v>115.16666666666666</v>
      </c>
      <c r="G44" s="4">
        <f t="shared" si="2"/>
        <v>4.923299565846599</v>
      </c>
    </row>
    <row r="45" spans="1:7" x14ac:dyDescent="0.2">
      <c r="A45">
        <v>500897</v>
      </c>
      <c r="B45" s="9">
        <v>0.3</v>
      </c>
      <c r="C45" s="4">
        <v>172.8</v>
      </c>
      <c r="D45" s="4">
        <v>33.340000000000003</v>
      </c>
      <c r="E45" s="4">
        <f t="shared" si="0"/>
        <v>576.00000000000011</v>
      </c>
      <c r="F45" s="4">
        <f t="shared" si="1"/>
        <v>111.13333333333335</v>
      </c>
      <c r="G45" s="4">
        <f t="shared" si="2"/>
        <v>5.1829634073185362</v>
      </c>
    </row>
    <row r="46" spans="1:7" x14ac:dyDescent="0.2">
      <c r="A46">
        <v>500900</v>
      </c>
      <c r="B46" s="9">
        <v>0.3</v>
      </c>
      <c r="C46" s="4">
        <v>69.87</v>
      </c>
      <c r="D46" s="4">
        <v>15.23</v>
      </c>
      <c r="E46" s="4">
        <f t="shared" si="0"/>
        <v>232.90000000000003</v>
      </c>
      <c r="F46" s="4">
        <f t="shared" si="1"/>
        <v>50.766666666666673</v>
      </c>
      <c r="G46" s="4">
        <f t="shared" si="2"/>
        <v>4.5876559422193042</v>
      </c>
    </row>
    <row r="47" spans="1:7" x14ac:dyDescent="0.2">
      <c r="A47">
        <v>500900</v>
      </c>
      <c r="B47" s="9">
        <v>0.3</v>
      </c>
      <c r="C47" s="4">
        <v>59.7</v>
      </c>
      <c r="D47" s="4">
        <v>8.34</v>
      </c>
      <c r="E47" s="4">
        <f t="shared" si="0"/>
        <v>199.00000000000003</v>
      </c>
      <c r="F47" s="4">
        <f t="shared" si="1"/>
        <v>27.8</v>
      </c>
      <c r="G47" s="4">
        <f t="shared" si="2"/>
        <v>7.1582733812949648</v>
      </c>
    </row>
    <row r="48" spans="1:7" x14ac:dyDescent="0.2">
      <c r="A48">
        <v>500902</v>
      </c>
      <c r="B48" s="9">
        <v>0.3</v>
      </c>
      <c r="C48" s="4">
        <v>360.4</v>
      </c>
      <c r="D48" s="4">
        <v>54.57</v>
      </c>
      <c r="E48" s="4">
        <f t="shared" si="0"/>
        <v>1201.3333333333333</v>
      </c>
      <c r="F48" s="4">
        <f t="shared" si="1"/>
        <v>181.9</v>
      </c>
      <c r="G48" s="4">
        <f t="shared" si="2"/>
        <v>6.6043613707165107</v>
      </c>
    </row>
    <row r="49" spans="1:7" x14ac:dyDescent="0.2">
      <c r="A49">
        <v>500902</v>
      </c>
      <c r="B49" s="9">
        <v>0.3</v>
      </c>
      <c r="C49" s="4">
        <v>380.5</v>
      </c>
      <c r="D49" s="4">
        <v>61.32</v>
      </c>
      <c r="E49" s="4">
        <f t="shared" si="0"/>
        <v>1268.3333333333335</v>
      </c>
      <c r="F49" s="4">
        <f t="shared" si="1"/>
        <v>204.4</v>
      </c>
      <c r="G49" s="4">
        <f t="shared" si="2"/>
        <v>6.2051532941943899</v>
      </c>
    </row>
    <row r="50" spans="1:7" x14ac:dyDescent="0.2">
      <c r="A50">
        <v>500905</v>
      </c>
      <c r="B50" s="9">
        <v>0.3</v>
      </c>
      <c r="C50" s="4">
        <v>64.680000000000007</v>
      </c>
      <c r="D50" s="4">
        <v>10.58</v>
      </c>
      <c r="E50" s="4">
        <f t="shared" si="0"/>
        <v>215.60000000000002</v>
      </c>
      <c r="F50" s="4">
        <f t="shared" si="1"/>
        <v>35.266666666666666</v>
      </c>
      <c r="G50" s="4">
        <f t="shared" si="2"/>
        <v>6.1134215500945182</v>
      </c>
    </row>
    <row r="51" spans="1:7" x14ac:dyDescent="0.2">
      <c r="A51">
        <v>500905</v>
      </c>
      <c r="B51" s="9">
        <v>0.3</v>
      </c>
      <c r="C51" s="4">
        <v>63.58</v>
      </c>
      <c r="D51" s="4">
        <v>12.43</v>
      </c>
      <c r="E51" s="4">
        <f t="shared" si="0"/>
        <v>211.93333333333334</v>
      </c>
      <c r="F51" s="4">
        <f t="shared" si="1"/>
        <v>41.433333333333337</v>
      </c>
      <c r="G51" s="4">
        <f t="shared" si="2"/>
        <v>5.115044247787611</v>
      </c>
    </row>
    <row r="52" spans="1:7" x14ac:dyDescent="0.2">
      <c r="A52">
        <v>500907</v>
      </c>
      <c r="B52" s="9">
        <v>0.3</v>
      </c>
      <c r="C52" s="4">
        <v>188</v>
      </c>
      <c r="D52" s="4">
        <v>31.02</v>
      </c>
      <c r="E52" s="4">
        <f t="shared" si="0"/>
        <v>626.66666666666674</v>
      </c>
      <c r="F52" s="4">
        <f t="shared" si="1"/>
        <v>103.4</v>
      </c>
      <c r="G52" s="4">
        <f t="shared" si="2"/>
        <v>6.0606060606060606</v>
      </c>
    </row>
    <row r="53" spans="1:7" x14ac:dyDescent="0.2">
      <c r="A53">
        <v>500907</v>
      </c>
      <c r="B53" s="9">
        <v>0.3</v>
      </c>
      <c r="C53" s="4">
        <v>202.2</v>
      </c>
      <c r="D53" s="4">
        <v>32.78</v>
      </c>
      <c r="E53" s="4">
        <f t="shared" si="0"/>
        <v>674</v>
      </c>
      <c r="F53" s="4">
        <f t="shared" si="1"/>
        <v>109.26666666666668</v>
      </c>
      <c r="G53" s="4">
        <f t="shared" si="2"/>
        <v>6.1683953630262351</v>
      </c>
    </row>
    <row r="54" spans="1:7" x14ac:dyDescent="0.2">
      <c r="A54">
        <v>500910</v>
      </c>
      <c r="B54" s="9">
        <v>0.3</v>
      </c>
      <c r="C54" s="4">
        <v>68.8</v>
      </c>
      <c r="D54" s="4">
        <v>10.29</v>
      </c>
      <c r="E54" s="4">
        <f t="shared" si="0"/>
        <v>229.33333333333334</v>
      </c>
      <c r="F54" s="4">
        <f t="shared" si="1"/>
        <v>34.299999999999997</v>
      </c>
      <c r="G54" s="4">
        <f t="shared" si="2"/>
        <v>6.6861030126336249</v>
      </c>
    </row>
    <row r="55" spans="1:7" x14ac:dyDescent="0.2">
      <c r="A55">
        <v>500910</v>
      </c>
      <c r="B55" s="9">
        <v>0.3</v>
      </c>
      <c r="C55" s="4">
        <v>74.2</v>
      </c>
      <c r="D55" s="4">
        <v>14.68</v>
      </c>
      <c r="E55" s="4">
        <f t="shared" si="0"/>
        <v>247.33333333333334</v>
      </c>
      <c r="F55" s="4">
        <f t="shared" si="1"/>
        <v>48.933333333333337</v>
      </c>
      <c r="G55" s="4">
        <f t="shared" si="2"/>
        <v>5.0544959128065399</v>
      </c>
    </row>
    <row r="56" spans="1:7" x14ac:dyDescent="0.2">
      <c r="A56">
        <v>500912</v>
      </c>
      <c r="B56" s="9">
        <v>0.3</v>
      </c>
      <c r="C56" s="4">
        <v>234.5</v>
      </c>
      <c r="D56" s="4">
        <v>43.57</v>
      </c>
      <c r="E56" s="4">
        <f t="shared" si="0"/>
        <v>781.66666666666674</v>
      </c>
      <c r="F56" s="4">
        <f t="shared" si="1"/>
        <v>145.23333333333335</v>
      </c>
      <c r="G56" s="4">
        <f t="shared" si="2"/>
        <v>5.3821436768418636</v>
      </c>
    </row>
    <row r="57" spans="1:7" x14ac:dyDescent="0.2">
      <c r="A57">
        <v>500912</v>
      </c>
      <c r="B57" s="9">
        <v>0.3</v>
      </c>
      <c r="C57" s="4">
        <v>242.2</v>
      </c>
      <c r="D57" s="4">
        <v>50.73</v>
      </c>
      <c r="E57" s="4">
        <f t="shared" si="0"/>
        <v>807.33333333333337</v>
      </c>
      <c r="F57" s="4">
        <f t="shared" si="1"/>
        <v>169.1</v>
      </c>
      <c r="G57" s="4">
        <f t="shared" si="2"/>
        <v>4.7742952887837573</v>
      </c>
    </row>
    <row r="58" spans="1:7" x14ac:dyDescent="0.2">
      <c r="A58">
        <v>500915</v>
      </c>
      <c r="B58" s="9">
        <v>0.3</v>
      </c>
      <c r="C58" s="4">
        <v>59.89</v>
      </c>
      <c r="D58" s="4">
        <v>10.15</v>
      </c>
      <c r="E58" s="4">
        <f t="shared" si="0"/>
        <v>199.63333333333335</v>
      </c>
      <c r="F58" s="4">
        <f t="shared" si="1"/>
        <v>33.833333333333336</v>
      </c>
      <c r="G58" s="4">
        <f t="shared" si="2"/>
        <v>5.9004926108374383</v>
      </c>
    </row>
    <row r="59" spans="1:7" x14ac:dyDescent="0.2">
      <c r="A59">
        <v>500915</v>
      </c>
      <c r="B59" s="9">
        <v>0.3</v>
      </c>
      <c r="C59" s="4">
        <v>53.74</v>
      </c>
      <c r="D59" s="4">
        <v>13.52</v>
      </c>
      <c r="E59" s="4">
        <f t="shared" si="0"/>
        <v>179.13333333333335</v>
      </c>
      <c r="F59" s="4">
        <f t="shared" si="1"/>
        <v>45.06666666666667</v>
      </c>
      <c r="G59" s="4">
        <f t="shared" si="2"/>
        <v>3.9748520710059174</v>
      </c>
    </row>
    <row r="60" spans="1:7" x14ac:dyDescent="0.2">
      <c r="A60">
        <v>500917</v>
      </c>
      <c r="B60" s="9">
        <v>0.3</v>
      </c>
      <c r="C60" s="4">
        <v>249.2</v>
      </c>
      <c r="D60" s="4">
        <v>45.83</v>
      </c>
      <c r="E60" s="4">
        <f t="shared" si="0"/>
        <v>830.66666666666663</v>
      </c>
      <c r="F60" s="4">
        <f t="shared" si="1"/>
        <v>152.76666666666668</v>
      </c>
      <c r="G60" s="4">
        <f t="shared" si="2"/>
        <v>5.437486362644556</v>
      </c>
    </row>
    <row r="61" spans="1:7" x14ac:dyDescent="0.2">
      <c r="A61">
        <v>500917</v>
      </c>
      <c r="B61" s="9">
        <v>0.3</v>
      </c>
      <c r="C61" s="4">
        <v>259.3</v>
      </c>
      <c r="D61" s="4">
        <v>50.3</v>
      </c>
      <c r="E61" s="4">
        <f t="shared" si="0"/>
        <v>864.33333333333337</v>
      </c>
      <c r="F61" s="4">
        <f t="shared" si="1"/>
        <v>167.66666666666666</v>
      </c>
      <c r="G61" s="4">
        <f t="shared" si="2"/>
        <v>5.1550695825049706</v>
      </c>
    </row>
    <row r="62" spans="1:7" x14ac:dyDescent="0.2">
      <c r="A62">
        <v>500920</v>
      </c>
      <c r="B62" s="9">
        <v>0.3</v>
      </c>
      <c r="C62" s="4">
        <v>73.44</v>
      </c>
      <c r="D62" s="4">
        <v>11.7</v>
      </c>
      <c r="E62" s="4">
        <f t="shared" si="0"/>
        <v>244.8</v>
      </c>
      <c r="F62" s="4">
        <f t="shared" si="1"/>
        <v>39</v>
      </c>
      <c r="G62" s="4">
        <f t="shared" si="2"/>
        <v>6.2769230769230768</v>
      </c>
    </row>
    <row r="63" spans="1:7" x14ac:dyDescent="0.2">
      <c r="A63">
        <v>500920</v>
      </c>
      <c r="B63" s="9">
        <v>0.3</v>
      </c>
      <c r="C63" s="4">
        <v>81.8</v>
      </c>
      <c r="D63" s="4">
        <v>14.1</v>
      </c>
      <c r="E63" s="4">
        <f t="shared" si="0"/>
        <v>272.66666666666669</v>
      </c>
      <c r="F63" s="4">
        <f t="shared" si="1"/>
        <v>47</v>
      </c>
      <c r="G63" s="4">
        <f t="shared" si="2"/>
        <v>5.8014184397163122</v>
      </c>
    </row>
    <row r="64" spans="1:7" x14ac:dyDescent="0.2">
      <c r="A64">
        <v>500922</v>
      </c>
      <c r="B64" s="9">
        <v>0.3</v>
      </c>
      <c r="C64" s="4">
        <v>231.1</v>
      </c>
      <c r="D64" s="4">
        <v>45.97</v>
      </c>
      <c r="E64" s="4">
        <f t="shared" si="0"/>
        <v>770.33333333333337</v>
      </c>
      <c r="F64" s="4">
        <f t="shared" si="1"/>
        <v>153.23333333333335</v>
      </c>
      <c r="G64" s="4">
        <f t="shared" si="2"/>
        <v>5.0271916467261262</v>
      </c>
    </row>
    <row r="65" spans="1:7" x14ac:dyDescent="0.2">
      <c r="A65">
        <v>500922</v>
      </c>
      <c r="B65" s="9">
        <v>0.3</v>
      </c>
      <c r="C65" s="4">
        <v>251.4</v>
      </c>
      <c r="D65" s="4">
        <v>51.61</v>
      </c>
      <c r="E65" s="4">
        <f t="shared" si="0"/>
        <v>838</v>
      </c>
      <c r="F65" s="4">
        <f t="shared" si="1"/>
        <v>172.03333333333333</v>
      </c>
      <c r="G65" s="4">
        <f t="shared" si="2"/>
        <v>4.8711490021313697</v>
      </c>
    </row>
    <row r="66" spans="1:7" x14ac:dyDescent="0.2">
      <c r="A66">
        <v>500925</v>
      </c>
      <c r="B66" s="9">
        <v>0.3</v>
      </c>
      <c r="C66" s="4">
        <v>94.16</v>
      </c>
      <c r="D66" s="4">
        <v>12.27</v>
      </c>
      <c r="E66" s="4">
        <f t="shared" si="0"/>
        <v>313.86666666666667</v>
      </c>
      <c r="F66" s="4">
        <f t="shared" si="1"/>
        <v>40.9</v>
      </c>
      <c r="G66" s="4">
        <f t="shared" si="2"/>
        <v>7.6740016299918503</v>
      </c>
    </row>
    <row r="67" spans="1:7" x14ac:dyDescent="0.2">
      <c r="A67">
        <v>500925</v>
      </c>
      <c r="B67" s="9">
        <v>0.3</v>
      </c>
      <c r="C67" s="4">
        <v>78.63</v>
      </c>
      <c r="D67" s="4">
        <v>13.66</v>
      </c>
      <c r="E67" s="4">
        <f t="shared" si="0"/>
        <v>262.10000000000002</v>
      </c>
      <c r="F67" s="4">
        <f t="shared" si="1"/>
        <v>45.533333333333339</v>
      </c>
      <c r="G67" s="4">
        <f t="shared" si="2"/>
        <v>5.7562225475841871</v>
      </c>
    </row>
    <row r="68" spans="1:7" x14ac:dyDescent="0.2">
      <c r="A68">
        <v>500927</v>
      </c>
      <c r="B68" s="9">
        <v>0.3</v>
      </c>
      <c r="C68" s="4">
        <v>180</v>
      </c>
      <c r="D68" s="4">
        <v>34.409999999999997</v>
      </c>
      <c r="E68" s="4">
        <f t="shared" si="0"/>
        <v>600</v>
      </c>
      <c r="F68" s="4">
        <f t="shared" si="1"/>
        <v>114.69999999999999</v>
      </c>
      <c r="G68" s="4">
        <f t="shared" si="2"/>
        <v>5.2310374891020057</v>
      </c>
    </row>
    <row r="69" spans="1:7" x14ac:dyDescent="0.2">
      <c r="A69">
        <v>500927</v>
      </c>
      <c r="B69" s="9">
        <v>0.3</v>
      </c>
      <c r="C69" s="4">
        <v>179.7</v>
      </c>
      <c r="D69" s="4">
        <v>38.380000000000003</v>
      </c>
      <c r="E69" s="4">
        <f t="shared" si="0"/>
        <v>599</v>
      </c>
      <c r="F69" s="4">
        <f t="shared" si="1"/>
        <v>127.93333333333335</v>
      </c>
      <c r="G69" s="4">
        <f t="shared" si="2"/>
        <v>4.6821261073475764</v>
      </c>
    </row>
    <row r="70" spans="1:7" x14ac:dyDescent="0.2">
      <c r="A70">
        <v>500930</v>
      </c>
      <c r="B70" s="9">
        <v>0.3</v>
      </c>
      <c r="C70" s="4">
        <v>91.26</v>
      </c>
      <c r="D70" s="4">
        <v>10.86</v>
      </c>
      <c r="E70" s="4">
        <f t="shared" si="0"/>
        <v>304.20000000000005</v>
      </c>
      <c r="F70" s="4">
        <f t="shared" si="1"/>
        <v>36.200000000000003</v>
      </c>
      <c r="G70" s="4">
        <f t="shared" si="2"/>
        <v>8.4033149171270729</v>
      </c>
    </row>
    <row r="71" spans="1:7" x14ac:dyDescent="0.2">
      <c r="A71">
        <v>500930</v>
      </c>
      <c r="B71" s="9">
        <v>0.3</v>
      </c>
      <c r="C71" s="4">
        <v>94.09</v>
      </c>
      <c r="D71" s="4">
        <v>14.39</v>
      </c>
      <c r="E71" s="4">
        <f t="shared" ref="E71:E101" si="3">(C71/B71)</f>
        <v>313.63333333333338</v>
      </c>
      <c r="F71" s="4">
        <f t="shared" ref="F71:F101" si="4">(D71/B71)</f>
        <v>47.966666666666669</v>
      </c>
      <c r="G71" s="4">
        <f t="shared" ref="G71:G101" si="5">(C71/D71)</f>
        <v>6.5385684503127175</v>
      </c>
    </row>
    <row r="72" spans="1:7" x14ac:dyDescent="0.2">
      <c r="A72">
        <v>500932</v>
      </c>
      <c r="B72" s="9">
        <v>0.3</v>
      </c>
      <c r="C72" s="4">
        <v>138</v>
      </c>
      <c r="D72" s="4">
        <v>25.67</v>
      </c>
      <c r="E72" s="4">
        <f t="shared" si="3"/>
        <v>460</v>
      </c>
      <c r="F72" s="4">
        <f t="shared" si="4"/>
        <v>85.566666666666677</v>
      </c>
      <c r="G72" s="4">
        <f t="shared" si="5"/>
        <v>5.375925204518893</v>
      </c>
    </row>
    <row r="73" spans="1:7" x14ac:dyDescent="0.2">
      <c r="A73">
        <v>500932</v>
      </c>
      <c r="B73" s="9">
        <v>0.3</v>
      </c>
      <c r="C73" s="4">
        <v>149.5</v>
      </c>
      <c r="D73" s="4">
        <v>31.98</v>
      </c>
      <c r="E73" s="4">
        <f t="shared" si="3"/>
        <v>498.33333333333337</v>
      </c>
      <c r="F73" s="4">
        <f t="shared" si="4"/>
        <v>106.60000000000001</v>
      </c>
      <c r="G73" s="4">
        <f t="shared" si="5"/>
        <v>4.6747967479674797</v>
      </c>
    </row>
    <row r="74" spans="1:7" x14ac:dyDescent="0.2">
      <c r="A74">
        <v>500935</v>
      </c>
      <c r="B74" s="9">
        <v>0.3</v>
      </c>
      <c r="C74" s="4">
        <v>103.4</v>
      </c>
      <c r="D74" s="4">
        <v>8.0399999999999991</v>
      </c>
      <c r="E74" s="4">
        <f t="shared" si="3"/>
        <v>344.66666666666669</v>
      </c>
      <c r="F74" s="4">
        <f t="shared" si="4"/>
        <v>26.799999999999997</v>
      </c>
      <c r="G74" s="4">
        <f t="shared" si="5"/>
        <v>12.860696517412938</v>
      </c>
    </row>
    <row r="75" spans="1:7" x14ac:dyDescent="0.2">
      <c r="A75">
        <v>500935</v>
      </c>
      <c r="B75" s="9">
        <v>0.3</v>
      </c>
      <c r="C75" s="4">
        <v>106.7</v>
      </c>
      <c r="D75" s="4">
        <v>13.52</v>
      </c>
      <c r="E75" s="4">
        <f t="shared" si="3"/>
        <v>355.66666666666669</v>
      </c>
      <c r="F75" s="4">
        <f t="shared" si="4"/>
        <v>45.06666666666667</v>
      </c>
      <c r="G75" s="4">
        <f t="shared" si="5"/>
        <v>7.8920118343195274</v>
      </c>
    </row>
    <row r="76" spans="1:7" x14ac:dyDescent="0.2">
      <c r="A76">
        <v>500937</v>
      </c>
      <c r="B76" s="9">
        <v>0.3</v>
      </c>
      <c r="C76" s="4">
        <v>225</v>
      </c>
      <c r="D76" s="4">
        <v>44</v>
      </c>
      <c r="E76" s="4">
        <f t="shared" si="3"/>
        <v>750</v>
      </c>
      <c r="F76" s="4">
        <f t="shared" si="4"/>
        <v>146.66666666666669</v>
      </c>
      <c r="G76" s="4">
        <f t="shared" si="5"/>
        <v>5.1136363636363633</v>
      </c>
    </row>
    <row r="77" spans="1:7" x14ac:dyDescent="0.2">
      <c r="A77">
        <v>500937</v>
      </c>
      <c r="B77" s="9">
        <v>0.3</v>
      </c>
      <c r="C77" s="4">
        <v>233.5</v>
      </c>
      <c r="D77" s="4">
        <v>48.41</v>
      </c>
      <c r="E77" s="4">
        <f t="shared" si="3"/>
        <v>778.33333333333337</v>
      </c>
      <c r="F77" s="4">
        <f t="shared" si="4"/>
        <v>161.36666666666667</v>
      </c>
      <c r="G77" s="4">
        <f t="shared" si="5"/>
        <v>4.8233835984300768</v>
      </c>
    </row>
    <row r="78" spans="1:7" x14ac:dyDescent="0.2">
      <c r="A78">
        <v>500940</v>
      </c>
      <c r="B78" s="9">
        <v>0.3</v>
      </c>
      <c r="C78" s="4">
        <v>97.33</v>
      </c>
      <c r="D78" s="4">
        <v>12.24</v>
      </c>
      <c r="E78" s="4">
        <f t="shared" si="3"/>
        <v>324.43333333333334</v>
      </c>
      <c r="F78" s="4">
        <f t="shared" si="4"/>
        <v>40.800000000000004</v>
      </c>
      <c r="G78" s="4">
        <f t="shared" si="5"/>
        <v>7.9517973856209148</v>
      </c>
    </row>
    <row r="79" spans="1:7" x14ac:dyDescent="0.2">
      <c r="A79">
        <v>500940</v>
      </c>
      <c r="B79" s="9">
        <v>0.3</v>
      </c>
      <c r="C79" s="4">
        <v>79.77</v>
      </c>
      <c r="D79" s="4">
        <v>14.97</v>
      </c>
      <c r="E79" s="4">
        <f t="shared" si="3"/>
        <v>265.89999999999998</v>
      </c>
      <c r="F79" s="4">
        <f t="shared" si="4"/>
        <v>49.900000000000006</v>
      </c>
      <c r="G79" s="4">
        <f t="shared" si="5"/>
        <v>5.3286573146292584</v>
      </c>
    </row>
    <row r="80" spans="1:7" x14ac:dyDescent="0.2">
      <c r="A80">
        <v>500942</v>
      </c>
      <c r="B80" s="9">
        <v>0.3</v>
      </c>
      <c r="C80" s="4">
        <v>302.8</v>
      </c>
      <c r="D80" s="4">
        <v>51.31</v>
      </c>
      <c r="E80" s="4">
        <f t="shared" si="3"/>
        <v>1009.3333333333334</v>
      </c>
      <c r="F80" s="4">
        <f t="shared" si="4"/>
        <v>171.03333333333336</v>
      </c>
      <c r="G80" s="4">
        <f t="shared" si="5"/>
        <v>5.9013837458585074</v>
      </c>
    </row>
    <row r="81" spans="1:7" x14ac:dyDescent="0.2">
      <c r="A81" s="21">
        <v>500942</v>
      </c>
      <c r="B81" s="9">
        <v>0.3</v>
      </c>
      <c r="C81" s="17">
        <v>303</v>
      </c>
      <c r="D81" s="17">
        <v>64.400000000000006</v>
      </c>
      <c r="E81" s="4">
        <f t="shared" si="3"/>
        <v>1010</v>
      </c>
      <c r="F81" s="4">
        <f t="shared" si="4"/>
        <v>214.66666666666669</v>
      </c>
      <c r="G81" s="4">
        <f t="shared" si="5"/>
        <v>4.7049689440993783</v>
      </c>
    </row>
    <row r="82" spans="1:7" x14ac:dyDescent="0.2">
      <c r="A82">
        <v>500945</v>
      </c>
      <c r="B82" s="9">
        <v>0.3</v>
      </c>
      <c r="C82" s="4">
        <v>103.7</v>
      </c>
      <c r="D82" s="4">
        <v>13.26</v>
      </c>
      <c r="E82" s="4">
        <f t="shared" si="3"/>
        <v>345.66666666666669</v>
      </c>
      <c r="F82" s="4">
        <f t="shared" si="4"/>
        <v>44.2</v>
      </c>
      <c r="G82" s="4">
        <f t="shared" si="5"/>
        <v>7.8205128205128212</v>
      </c>
    </row>
    <row r="83" spans="1:7" x14ac:dyDescent="0.2">
      <c r="A83" s="14">
        <v>500945</v>
      </c>
      <c r="B83" s="15">
        <v>0.3</v>
      </c>
      <c r="C83" s="5">
        <v>96.8</v>
      </c>
      <c r="D83" s="5">
        <v>48.26</v>
      </c>
      <c r="E83" s="5">
        <f t="shared" si="3"/>
        <v>322.66666666666669</v>
      </c>
      <c r="F83" s="5">
        <f t="shared" si="4"/>
        <v>160.86666666666667</v>
      </c>
      <c r="G83" s="5">
        <f t="shared" si="5"/>
        <v>2.0058019063406549</v>
      </c>
    </row>
    <row r="84" spans="1:7" x14ac:dyDescent="0.2">
      <c r="A84">
        <v>500947</v>
      </c>
      <c r="B84" s="9">
        <v>0.3</v>
      </c>
      <c r="C84" s="4">
        <v>254.2</v>
      </c>
      <c r="D84" s="4">
        <v>53.35</v>
      </c>
      <c r="E84" s="4">
        <f t="shared" si="3"/>
        <v>847.33333333333337</v>
      </c>
      <c r="F84" s="4">
        <f t="shared" si="4"/>
        <v>177.83333333333334</v>
      </c>
      <c r="G84" s="4">
        <f t="shared" si="5"/>
        <v>4.7647610121836923</v>
      </c>
    </row>
    <row r="85" spans="1:7" x14ac:dyDescent="0.2">
      <c r="A85" s="14">
        <v>500947</v>
      </c>
      <c r="B85" s="15">
        <v>0.3</v>
      </c>
      <c r="C85" s="5">
        <v>238.7</v>
      </c>
      <c r="D85" s="5">
        <v>129.6</v>
      </c>
      <c r="E85" s="5">
        <f t="shared" si="3"/>
        <v>795.66666666666663</v>
      </c>
      <c r="F85" s="5">
        <f t="shared" si="4"/>
        <v>432</v>
      </c>
      <c r="G85" s="5">
        <f t="shared" si="5"/>
        <v>1.841820987654321</v>
      </c>
    </row>
    <row r="86" spans="1:7" x14ac:dyDescent="0.2">
      <c r="A86">
        <v>500950</v>
      </c>
      <c r="B86" s="9">
        <v>0.3</v>
      </c>
      <c r="C86" s="4">
        <v>84.57</v>
      </c>
      <c r="D86" s="4">
        <v>12.39</v>
      </c>
      <c r="E86" s="4">
        <f t="shared" si="3"/>
        <v>281.89999999999998</v>
      </c>
      <c r="F86" s="4">
        <f t="shared" si="4"/>
        <v>41.300000000000004</v>
      </c>
      <c r="G86" s="4">
        <f t="shared" si="5"/>
        <v>6.8256658595641637</v>
      </c>
    </row>
    <row r="87" spans="1:7" x14ac:dyDescent="0.2">
      <c r="A87" s="14">
        <v>500950</v>
      </c>
      <c r="B87" s="15">
        <v>0.3</v>
      </c>
      <c r="C87" s="5">
        <v>64.52</v>
      </c>
      <c r="D87" s="5">
        <v>175.3</v>
      </c>
      <c r="E87" s="5">
        <f t="shared" si="3"/>
        <v>215.06666666666666</v>
      </c>
      <c r="F87" s="5">
        <f t="shared" si="4"/>
        <v>584.33333333333337</v>
      </c>
      <c r="G87" s="5">
        <f t="shared" si="5"/>
        <v>0.3680547632629777</v>
      </c>
    </row>
    <row r="88" spans="1:7" x14ac:dyDescent="0.2">
      <c r="A88">
        <v>500952</v>
      </c>
      <c r="B88" s="9">
        <v>0.3</v>
      </c>
      <c r="C88" s="4">
        <v>312.7</v>
      </c>
      <c r="D88" s="4">
        <v>60.34</v>
      </c>
      <c r="E88" s="4">
        <f t="shared" si="3"/>
        <v>1042.3333333333333</v>
      </c>
      <c r="F88" s="4">
        <f t="shared" si="4"/>
        <v>201.13333333333335</v>
      </c>
      <c r="G88" s="4">
        <f t="shared" si="5"/>
        <v>5.1823002983095785</v>
      </c>
    </row>
    <row r="89" spans="1:7" x14ac:dyDescent="0.2">
      <c r="A89" s="14">
        <v>500952</v>
      </c>
      <c r="B89" s="15">
        <v>0.3</v>
      </c>
      <c r="C89" s="5">
        <v>310.3</v>
      </c>
      <c r="D89" s="5">
        <v>336.3</v>
      </c>
      <c r="E89" s="5">
        <f t="shared" si="3"/>
        <v>1034.3333333333335</v>
      </c>
      <c r="F89" s="5">
        <f t="shared" si="4"/>
        <v>1121</v>
      </c>
      <c r="G89" s="5">
        <f t="shared" si="5"/>
        <v>0.92268807612250969</v>
      </c>
    </row>
    <row r="90" spans="1:7" x14ac:dyDescent="0.2">
      <c r="A90">
        <v>500955</v>
      </c>
      <c r="B90" s="9">
        <v>0.3</v>
      </c>
      <c r="C90" s="4">
        <v>76.89</v>
      </c>
      <c r="D90" s="4">
        <v>9.91</v>
      </c>
      <c r="E90" s="4">
        <f t="shared" si="3"/>
        <v>256.3</v>
      </c>
      <c r="F90" s="4">
        <f t="shared" si="4"/>
        <v>33.033333333333339</v>
      </c>
      <c r="G90" s="4">
        <f t="shared" si="5"/>
        <v>7.7588294651866798</v>
      </c>
    </row>
    <row r="91" spans="1:7" x14ac:dyDescent="0.2">
      <c r="A91" s="14">
        <v>500955</v>
      </c>
      <c r="B91" s="15">
        <v>0.3</v>
      </c>
      <c r="C91" s="5">
        <v>76.13</v>
      </c>
      <c r="D91" s="5">
        <v>438.2</v>
      </c>
      <c r="E91" s="5">
        <f t="shared" si="3"/>
        <v>253.76666666666665</v>
      </c>
      <c r="F91" s="5">
        <f t="shared" si="4"/>
        <v>1460.6666666666667</v>
      </c>
      <c r="G91" s="5">
        <f t="shared" si="5"/>
        <v>0.17373345504335919</v>
      </c>
    </row>
    <row r="92" spans="1:7" x14ac:dyDescent="0.2">
      <c r="A92">
        <v>500957</v>
      </c>
      <c r="B92" s="9">
        <v>0.3</v>
      </c>
      <c r="C92" s="4">
        <v>277.60000000000002</v>
      </c>
      <c r="D92" s="4">
        <v>45.77</v>
      </c>
      <c r="E92" s="4">
        <f t="shared" si="3"/>
        <v>925.33333333333348</v>
      </c>
      <c r="F92" s="4">
        <f t="shared" si="4"/>
        <v>152.56666666666669</v>
      </c>
      <c r="G92" s="4">
        <f t="shared" si="5"/>
        <v>6.0651081494428665</v>
      </c>
    </row>
    <row r="93" spans="1:7" x14ac:dyDescent="0.2">
      <c r="A93" s="14">
        <v>500957</v>
      </c>
      <c r="B93" s="15">
        <v>0.3</v>
      </c>
      <c r="C93" s="5">
        <v>269.2</v>
      </c>
      <c r="D93" s="5">
        <v>611.4</v>
      </c>
      <c r="E93" s="5">
        <f t="shared" si="3"/>
        <v>897.33333333333337</v>
      </c>
      <c r="F93" s="5">
        <f t="shared" si="4"/>
        <v>2038</v>
      </c>
      <c r="G93" s="5">
        <f t="shared" si="5"/>
        <v>0.44030094864245994</v>
      </c>
    </row>
    <row r="94" spans="1:7" x14ac:dyDescent="0.2">
      <c r="A94">
        <v>500960</v>
      </c>
      <c r="B94" s="9">
        <v>0.3</v>
      </c>
      <c r="C94" s="4">
        <v>75.25</v>
      </c>
      <c r="D94" s="4">
        <v>8.16</v>
      </c>
      <c r="E94" s="4">
        <f t="shared" si="3"/>
        <v>250.83333333333334</v>
      </c>
      <c r="F94" s="4">
        <f t="shared" si="4"/>
        <v>27.200000000000003</v>
      </c>
      <c r="G94" s="4">
        <f t="shared" si="5"/>
        <v>9.2218137254901951</v>
      </c>
    </row>
    <row r="95" spans="1:7" x14ac:dyDescent="0.2">
      <c r="A95" s="14">
        <v>500960</v>
      </c>
      <c r="B95" s="15">
        <v>0.3</v>
      </c>
      <c r="C95" s="5">
        <v>73.11</v>
      </c>
      <c r="D95" s="5">
        <v>748.6</v>
      </c>
      <c r="E95" s="5">
        <f t="shared" si="3"/>
        <v>243.70000000000002</v>
      </c>
      <c r="F95" s="5">
        <f t="shared" si="4"/>
        <v>2495.3333333333335</v>
      </c>
      <c r="G95" s="5">
        <f t="shared" si="5"/>
        <v>9.7662302965535658E-2</v>
      </c>
    </row>
    <row r="96" spans="1:7" x14ac:dyDescent="0.2">
      <c r="A96">
        <v>500962</v>
      </c>
      <c r="B96" s="9">
        <v>0.3</v>
      </c>
      <c r="C96" s="4">
        <v>211.2</v>
      </c>
      <c r="D96" s="4">
        <v>37.6</v>
      </c>
      <c r="E96" s="4">
        <f t="shared" si="3"/>
        <v>704</v>
      </c>
      <c r="F96" s="4">
        <f t="shared" si="4"/>
        <v>125.33333333333334</v>
      </c>
      <c r="G96" s="4">
        <f t="shared" si="5"/>
        <v>5.6170212765957439</v>
      </c>
    </row>
    <row r="97" spans="1:7" x14ac:dyDescent="0.2">
      <c r="A97" s="14">
        <v>500962</v>
      </c>
      <c r="B97" s="15">
        <v>0.3</v>
      </c>
      <c r="C97" s="5">
        <v>229</v>
      </c>
      <c r="D97" s="5">
        <v>921</v>
      </c>
      <c r="E97" s="5">
        <f t="shared" si="3"/>
        <v>763.33333333333337</v>
      </c>
      <c r="F97" s="5">
        <f t="shared" si="4"/>
        <v>3070</v>
      </c>
      <c r="G97" s="5">
        <f t="shared" si="5"/>
        <v>0.24864277958740499</v>
      </c>
    </row>
    <row r="98" spans="1:7" x14ac:dyDescent="0.2">
      <c r="A98">
        <v>500965</v>
      </c>
      <c r="B98" s="9">
        <v>0.3</v>
      </c>
      <c r="C98" s="4">
        <v>184.4</v>
      </c>
      <c r="D98" s="4">
        <v>20.7</v>
      </c>
      <c r="E98" s="4">
        <f t="shared" si="3"/>
        <v>614.66666666666674</v>
      </c>
      <c r="F98" s="4">
        <f t="shared" si="4"/>
        <v>69</v>
      </c>
      <c r="G98" s="4">
        <f t="shared" si="5"/>
        <v>8.9082125603864739</v>
      </c>
    </row>
    <row r="99" spans="1:7" x14ac:dyDescent="0.2">
      <c r="A99" s="14">
        <v>500965</v>
      </c>
      <c r="B99" s="15">
        <v>0.3</v>
      </c>
      <c r="C99" s="5">
        <v>182.9</v>
      </c>
      <c r="D99" s="5">
        <v>1061</v>
      </c>
      <c r="E99" s="5">
        <f t="shared" si="3"/>
        <v>609.66666666666674</v>
      </c>
      <c r="F99" s="5">
        <f t="shared" si="4"/>
        <v>3536.666666666667</v>
      </c>
      <c r="G99" s="5">
        <f t="shared" si="5"/>
        <v>0.17238454288407162</v>
      </c>
    </row>
    <row r="100" spans="1:7" x14ac:dyDescent="0.2">
      <c r="A100">
        <v>500967</v>
      </c>
      <c r="B100" s="9">
        <v>0.3</v>
      </c>
      <c r="C100" s="4">
        <v>212.8</v>
      </c>
      <c r="D100" s="4">
        <v>38.770000000000003</v>
      </c>
      <c r="E100" s="4">
        <f t="shared" si="3"/>
        <v>709.33333333333337</v>
      </c>
      <c r="F100" s="4">
        <f t="shared" si="4"/>
        <v>129.23333333333335</v>
      </c>
      <c r="G100" s="4">
        <f t="shared" si="5"/>
        <v>5.4887799845241165</v>
      </c>
    </row>
    <row r="101" spans="1:7" x14ac:dyDescent="0.2">
      <c r="A101" s="14">
        <v>500967</v>
      </c>
      <c r="B101" s="15">
        <v>0.3</v>
      </c>
      <c r="C101" s="5">
        <v>225.5</v>
      </c>
      <c r="D101" s="5">
        <v>1229</v>
      </c>
      <c r="E101" s="5">
        <f t="shared" si="3"/>
        <v>751.66666666666674</v>
      </c>
      <c r="F101" s="5">
        <f t="shared" si="4"/>
        <v>4096.666666666667</v>
      </c>
      <c r="G101" s="5">
        <f t="shared" si="5"/>
        <v>0.18348250610252237</v>
      </c>
    </row>
    <row r="102" spans="1:7" x14ac:dyDescent="0.2">
      <c r="A102">
        <v>500970</v>
      </c>
      <c r="B102" s="9">
        <v>0.3</v>
      </c>
      <c r="C102" s="4">
        <v>104.8</v>
      </c>
      <c r="D102" s="4">
        <v>13.73</v>
      </c>
      <c r="E102" s="4">
        <f t="shared" ref="E102:E165" si="6">(C102/B102)</f>
        <v>349.33333333333331</v>
      </c>
      <c r="F102" s="4">
        <f t="shared" ref="F102:F165" si="7">(D102/B102)</f>
        <v>45.766666666666673</v>
      </c>
      <c r="G102" s="4">
        <f t="shared" ref="G102:G165" si="8">(C102/D102)</f>
        <v>7.6329206117989798</v>
      </c>
    </row>
    <row r="103" spans="1:7" x14ac:dyDescent="0.2">
      <c r="A103">
        <v>500970</v>
      </c>
      <c r="B103" s="9">
        <v>0.3</v>
      </c>
      <c r="C103" s="4">
        <v>134.19999999999999</v>
      </c>
      <c r="D103" s="4">
        <v>19.079999999999998</v>
      </c>
      <c r="E103" s="4">
        <f t="shared" si="6"/>
        <v>447.33333333333331</v>
      </c>
      <c r="F103" s="4">
        <f t="shared" si="7"/>
        <v>63.599999999999994</v>
      </c>
      <c r="G103" s="4">
        <f t="shared" si="8"/>
        <v>7.0335429769392031</v>
      </c>
    </row>
    <row r="104" spans="1:7" x14ac:dyDescent="0.2">
      <c r="A104">
        <v>500972</v>
      </c>
      <c r="B104" s="9">
        <v>0.3</v>
      </c>
      <c r="C104" s="4">
        <v>156.5</v>
      </c>
      <c r="D104" s="4">
        <v>28.69</v>
      </c>
      <c r="E104" s="4">
        <f t="shared" si="6"/>
        <v>521.66666666666674</v>
      </c>
      <c r="F104" s="4">
        <f t="shared" si="7"/>
        <v>95.63333333333334</v>
      </c>
      <c r="G104" s="4">
        <f t="shared" si="8"/>
        <v>5.4548623213663294</v>
      </c>
    </row>
    <row r="105" spans="1:7" x14ac:dyDescent="0.2">
      <c r="A105">
        <v>500972</v>
      </c>
      <c r="B105" s="9">
        <v>0.3</v>
      </c>
      <c r="C105" s="4">
        <v>154.69999999999999</v>
      </c>
      <c r="D105" s="4">
        <v>31.85</v>
      </c>
      <c r="E105" s="4">
        <f t="shared" si="6"/>
        <v>515.66666666666663</v>
      </c>
      <c r="F105" s="4">
        <f t="shared" si="7"/>
        <v>106.16666666666667</v>
      </c>
      <c r="G105" s="4">
        <f t="shared" si="8"/>
        <v>4.8571428571428568</v>
      </c>
    </row>
    <row r="106" spans="1:7" x14ac:dyDescent="0.2">
      <c r="A106">
        <v>500975</v>
      </c>
      <c r="B106" s="9">
        <v>0.3</v>
      </c>
      <c r="C106" s="4">
        <v>141</v>
      </c>
      <c r="D106" s="4">
        <v>20.59</v>
      </c>
      <c r="E106" s="4">
        <f t="shared" si="6"/>
        <v>470</v>
      </c>
      <c r="F106" s="4">
        <f t="shared" si="7"/>
        <v>68.63333333333334</v>
      </c>
      <c r="G106" s="4">
        <f t="shared" si="8"/>
        <v>6.847984458474988</v>
      </c>
    </row>
    <row r="107" spans="1:7" x14ac:dyDescent="0.2">
      <c r="A107">
        <v>500975</v>
      </c>
      <c r="B107" s="9">
        <v>0.3</v>
      </c>
      <c r="C107" s="4">
        <v>152.9</v>
      </c>
      <c r="D107" s="4">
        <v>22.24</v>
      </c>
      <c r="E107" s="4">
        <f t="shared" si="6"/>
        <v>509.66666666666669</v>
      </c>
      <c r="F107" s="4">
        <f t="shared" si="7"/>
        <v>74.133333333333326</v>
      </c>
      <c r="G107" s="4">
        <f t="shared" si="8"/>
        <v>6.8750000000000009</v>
      </c>
    </row>
    <row r="108" spans="1:7" x14ac:dyDescent="0.2">
      <c r="A108">
        <v>500977</v>
      </c>
      <c r="B108" s="9">
        <v>0.3</v>
      </c>
      <c r="C108" s="4">
        <v>211.3</v>
      </c>
      <c r="D108" s="4">
        <v>44.34</v>
      </c>
      <c r="E108" s="4">
        <f t="shared" si="6"/>
        <v>704.33333333333337</v>
      </c>
      <c r="F108" s="4">
        <f t="shared" si="7"/>
        <v>147.80000000000001</v>
      </c>
      <c r="G108" s="4">
        <f t="shared" si="8"/>
        <v>4.7654488046910242</v>
      </c>
    </row>
    <row r="109" spans="1:7" x14ac:dyDescent="0.2">
      <c r="A109">
        <v>500977</v>
      </c>
      <c r="B109" s="9">
        <v>0.3</v>
      </c>
      <c r="C109" s="4">
        <v>200.1</v>
      </c>
      <c r="D109" s="4">
        <v>40.770000000000003</v>
      </c>
      <c r="E109" s="4">
        <f t="shared" si="6"/>
        <v>667</v>
      </c>
      <c r="F109" s="4">
        <f t="shared" si="7"/>
        <v>135.9</v>
      </c>
      <c r="G109" s="4">
        <f t="shared" si="8"/>
        <v>4.9080206033848413</v>
      </c>
    </row>
    <row r="110" spans="1:7" x14ac:dyDescent="0.2">
      <c r="A110">
        <v>500980</v>
      </c>
      <c r="B110" s="9">
        <v>0.3</v>
      </c>
      <c r="C110" s="4">
        <v>97.31</v>
      </c>
      <c r="D110" s="4">
        <v>15.1</v>
      </c>
      <c r="E110" s="4">
        <f t="shared" si="6"/>
        <v>324.36666666666667</v>
      </c>
      <c r="F110" s="4">
        <f t="shared" si="7"/>
        <v>50.333333333333336</v>
      </c>
      <c r="G110" s="4">
        <f t="shared" si="8"/>
        <v>6.4443708609271528</v>
      </c>
    </row>
    <row r="111" spans="1:7" x14ac:dyDescent="0.2">
      <c r="A111">
        <v>500980</v>
      </c>
      <c r="B111" s="9">
        <v>0.3</v>
      </c>
      <c r="C111" s="4">
        <v>109</v>
      </c>
      <c r="D111" s="4">
        <v>20.04</v>
      </c>
      <c r="E111" s="4">
        <f t="shared" si="6"/>
        <v>363.33333333333337</v>
      </c>
      <c r="F111" s="4">
        <f t="shared" si="7"/>
        <v>66.8</v>
      </c>
      <c r="G111" s="4">
        <f t="shared" si="8"/>
        <v>5.439121756487026</v>
      </c>
    </row>
    <row r="112" spans="1:7" x14ac:dyDescent="0.2">
      <c r="A112">
        <v>500982</v>
      </c>
      <c r="B112" s="9">
        <v>0.3</v>
      </c>
      <c r="C112" s="4">
        <v>198.5</v>
      </c>
      <c r="D112" s="4">
        <v>36.380000000000003</v>
      </c>
      <c r="E112" s="4">
        <f t="shared" si="6"/>
        <v>661.66666666666674</v>
      </c>
      <c r="F112" s="4">
        <f t="shared" si="7"/>
        <v>121.26666666666668</v>
      </c>
      <c r="G112" s="4">
        <f t="shared" si="8"/>
        <v>5.4562946673996695</v>
      </c>
    </row>
    <row r="113" spans="1:7" x14ac:dyDescent="0.2">
      <c r="A113">
        <v>500982</v>
      </c>
      <c r="B113" s="9">
        <v>0.3</v>
      </c>
      <c r="C113" s="4">
        <v>217.4</v>
      </c>
      <c r="D113" s="4">
        <v>44.34</v>
      </c>
      <c r="E113" s="4">
        <f t="shared" si="6"/>
        <v>724.66666666666674</v>
      </c>
      <c r="F113" s="4">
        <f t="shared" si="7"/>
        <v>147.80000000000001</v>
      </c>
      <c r="G113" s="4">
        <f t="shared" si="8"/>
        <v>4.9030221019395581</v>
      </c>
    </row>
    <row r="114" spans="1:7" x14ac:dyDescent="0.2">
      <c r="A114">
        <v>500985</v>
      </c>
      <c r="B114" s="9">
        <v>0.3</v>
      </c>
      <c r="C114" s="4">
        <v>190.5</v>
      </c>
      <c r="D114" s="4">
        <v>25.53</v>
      </c>
      <c r="E114" s="4">
        <f t="shared" si="6"/>
        <v>635</v>
      </c>
      <c r="F114" s="4">
        <f t="shared" si="7"/>
        <v>85.100000000000009</v>
      </c>
      <c r="G114" s="4">
        <f t="shared" si="8"/>
        <v>7.4618096357226786</v>
      </c>
    </row>
    <row r="115" spans="1:7" x14ac:dyDescent="0.2">
      <c r="A115">
        <v>500985</v>
      </c>
      <c r="B115" s="9">
        <v>0.3</v>
      </c>
      <c r="C115" s="4">
        <v>173.3</v>
      </c>
      <c r="D115" s="4">
        <v>26.49</v>
      </c>
      <c r="E115" s="4">
        <f t="shared" si="6"/>
        <v>577.66666666666674</v>
      </c>
      <c r="F115" s="4">
        <f t="shared" si="7"/>
        <v>88.3</v>
      </c>
      <c r="G115" s="4">
        <f t="shared" si="8"/>
        <v>6.542091355228389</v>
      </c>
    </row>
    <row r="116" spans="1:7" x14ac:dyDescent="0.2">
      <c r="A116">
        <v>500987</v>
      </c>
      <c r="B116" s="9">
        <v>0.3</v>
      </c>
      <c r="C116" s="4">
        <v>253.4</v>
      </c>
      <c r="D116" s="4">
        <v>40.36</v>
      </c>
      <c r="E116" s="4">
        <f t="shared" si="6"/>
        <v>844.66666666666674</v>
      </c>
      <c r="F116" s="4">
        <f t="shared" si="7"/>
        <v>134.53333333333333</v>
      </c>
      <c r="G116" s="4">
        <f t="shared" si="8"/>
        <v>6.2784935579781962</v>
      </c>
    </row>
    <row r="117" spans="1:7" x14ac:dyDescent="0.2">
      <c r="A117">
        <v>500987</v>
      </c>
      <c r="B117" s="9">
        <v>0.3</v>
      </c>
      <c r="C117" s="4">
        <v>252.9</v>
      </c>
      <c r="D117" s="4">
        <v>41.87</v>
      </c>
      <c r="E117" s="4">
        <f t="shared" si="6"/>
        <v>843</v>
      </c>
      <c r="F117" s="4">
        <f t="shared" si="7"/>
        <v>139.56666666666666</v>
      </c>
      <c r="G117" s="4">
        <f t="shared" si="8"/>
        <v>6.0401241939336048</v>
      </c>
    </row>
    <row r="118" spans="1:7" x14ac:dyDescent="0.2">
      <c r="A118">
        <v>500990</v>
      </c>
      <c r="B118" s="9">
        <v>0.3</v>
      </c>
      <c r="C118" s="4">
        <v>139</v>
      </c>
      <c r="D118" s="4">
        <v>20.18</v>
      </c>
      <c r="E118" s="4">
        <f t="shared" si="6"/>
        <v>463.33333333333337</v>
      </c>
      <c r="F118" s="4">
        <f t="shared" si="7"/>
        <v>67.266666666666666</v>
      </c>
      <c r="G118" s="4">
        <f t="shared" si="8"/>
        <v>6.88800792864222</v>
      </c>
    </row>
    <row r="119" spans="1:7" x14ac:dyDescent="0.2">
      <c r="A119">
        <v>500990</v>
      </c>
      <c r="B119" s="9">
        <v>0.3</v>
      </c>
      <c r="C119" s="4">
        <v>142.9</v>
      </c>
      <c r="D119" s="4">
        <v>24.3</v>
      </c>
      <c r="E119" s="4">
        <f t="shared" si="6"/>
        <v>476.33333333333337</v>
      </c>
      <c r="F119" s="4">
        <f t="shared" si="7"/>
        <v>81</v>
      </c>
      <c r="G119" s="4">
        <f t="shared" si="8"/>
        <v>5.8806584362139915</v>
      </c>
    </row>
    <row r="120" spans="1:7" x14ac:dyDescent="0.2">
      <c r="A120">
        <v>500992</v>
      </c>
      <c r="B120" s="9">
        <v>0.3</v>
      </c>
      <c r="C120" s="4">
        <v>291.8</v>
      </c>
      <c r="D120" s="4">
        <v>54.77</v>
      </c>
      <c r="E120" s="4">
        <f t="shared" si="6"/>
        <v>972.66666666666674</v>
      </c>
      <c r="F120" s="4">
        <f t="shared" si="7"/>
        <v>182.56666666666669</v>
      </c>
      <c r="G120" s="4">
        <f t="shared" si="8"/>
        <v>5.3277341610370641</v>
      </c>
    </row>
    <row r="121" spans="1:7" x14ac:dyDescent="0.2">
      <c r="A121">
        <v>500992</v>
      </c>
      <c r="B121" s="9">
        <v>0.3</v>
      </c>
      <c r="C121" s="4">
        <v>271.60000000000002</v>
      </c>
      <c r="D121" s="4">
        <v>52.71</v>
      </c>
      <c r="E121" s="4">
        <f t="shared" si="6"/>
        <v>905.33333333333348</v>
      </c>
      <c r="F121" s="4">
        <f t="shared" si="7"/>
        <v>175.70000000000002</v>
      </c>
      <c r="G121" s="4">
        <f t="shared" si="8"/>
        <v>5.1527224435590977</v>
      </c>
    </row>
    <row r="122" spans="1:7" x14ac:dyDescent="0.2">
      <c r="A122">
        <v>500995</v>
      </c>
      <c r="B122" s="9">
        <v>0.3</v>
      </c>
      <c r="C122" s="4">
        <v>107.7</v>
      </c>
      <c r="D122" s="4">
        <v>18.260000000000002</v>
      </c>
      <c r="E122" s="4">
        <f t="shared" si="6"/>
        <v>359</v>
      </c>
      <c r="F122" s="4">
        <f t="shared" si="7"/>
        <v>60.866666666666674</v>
      </c>
      <c r="G122" s="4">
        <f t="shared" si="8"/>
        <v>5.8981380065717408</v>
      </c>
    </row>
    <row r="123" spans="1:7" x14ac:dyDescent="0.2">
      <c r="A123">
        <v>500995</v>
      </c>
      <c r="B123" s="9">
        <v>0.3</v>
      </c>
      <c r="C123" s="4">
        <v>58.3</v>
      </c>
      <c r="D123" s="4">
        <v>11.8</v>
      </c>
      <c r="E123" s="4">
        <f t="shared" si="6"/>
        <v>194.33333333333334</v>
      </c>
      <c r="F123" s="4">
        <f t="shared" si="7"/>
        <v>39.333333333333336</v>
      </c>
      <c r="G123" s="4">
        <f t="shared" si="8"/>
        <v>4.9406779661016946</v>
      </c>
    </row>
    <row r="124" spans="1:7" x14ac:dyDescent="0.2">
      <c r="A124">
        <v>500997</v>
      </c>
      <c r="B124" s="9">
        <v>0.3</v>
      </c>
      <c r="C124" s="4">
        <v>391.7</v>
      </c>
      <c r="D124" s="4">
        <v>46.26</v>
      </c>
      <c r="E124" s="4">
        <f t="shared" si="6"/>
        <v>1305.6666666666667</v>
      </c>
      <c r="F124" s="4">
        <f t="shared" si="7"/>
        <v>154.19999999999999</v>
      </c>
      <c r="G124" s="4">
        <f t="shared" si="8"/>
        <v>8.4673584089926504</v>
      </c>
    </row>
    <row r="125" spans="1:7" x14ac:dyDescent="0.2">
      <c r="A125">
        <v>500997</v>
      </c>
      <c r="B125" s="9">
        <v>0.3</v>
      </c>
      <c r="C125" s="4">
        <v>345.5</v>
      </c>
      <c r="D125" s="4">
        <v>50.38</v>
      </c>
      <c r="E125" s="4">
        <f t="shared" si="6"/>
        <v>1151.6666666666667</v>
      </c>
      <c r="F125" s="4">
        <f t="shared" si="7"/>
        <v>167.93333333333334</v>
      </c>
      <c r="G125" s="4">
        <f t="shared" si="8"/>
        <v>6.8578801111552199</v>
      </c>
    </row>
    <row r="126" spans="1:7" x14ac:dyDescent="0.2">
      <c r="A126">
        <v>507065</v>
      </c>
      <c r="B126" s="9">
        <v>0.3</v>
      </c>
      <c r="C126" s="4">
        <v>223.4</v>
      </c>
      <c r="D126" s="4">
        <v>46.53</v>
      </c>
      <c r="E126" s="4">
        <f t="shared" si="6"/>
        <v>744.66666666666674</v>
      </c>
      <c r="F126" s="4">
        <f t="shared" si="7"/>
        <v>155.10000000000002</v>
      </c>
      <c r="G126" s="4">
        <f t="shared" si="8"/>
        <v>4.8012035246077795</v>
      </c>
    </row>
    <row r="127" spans="1:7" x14ac:dyDescent="0.2">
      <c r="A127">
        <v>507065</v>
      </c>
      <c r="B127" s="9">
        <v>0.3</v>
      </c>
      <c r="C127" s="4">
        <v>135.30000000000001</v>
      </c>
      <c r="D127" s="4">
        <v>21.28</v>
      </c>
      <c r="E127" s="4">
        <f t="shared" si="6"/>
        <v>451.00000000000006</v>
      </c>
      <c r="F127" s="4">
        <f t="shared" si="7"/>
        <v>70.933333333333337</v>
      </c>
      <c r="G127" s="4">
        <f t="shared" si="8"/>
        <v>6.3580827067669174</v>
      </c>
    </row>
    <row r="128" spans="1:7" x14ac:dyDescent="0.2">
      <c r="A128" s="11">
        <v>507067</v>
      </c>
      <c r="B128" s="9">
        <v>0.3</v>
      </c>
      <c r="C128" s="12">
        <v>253</v>
      </c>
      <c r="D128" s="12">
        <v>40.909999999999997</v>
      </c>
      <c r="E128" s="4">
        <f t="shared" si="6"/>
        <v>843.33333333333337</v>
      </c>
      <c r="F128" s="4">
        <f t="shared" si="7"/>
        <v>136.36666666666667</v>
      </c>
      <c r="G128" s="4">
        <f t="shared" si="8"/>
        <v>6.184307015399658</v>
      </c>
    </row>
    <row r="129" spans="1:7" x14ac:dyDescent="0.2">
      <c r="A129" s="11">
        <v>507067</v>
      </c>
      <c r="B129" s="9">
        <v>0.3</v>
      </c>
      <c r="C129" s="13">
        <v>249.8</v>
      </c>
      <c r="D129" s="13">
        <v>39.26</v>
      </c>
      <c r="E129" s="4">
        <f t="shared" si="6"/>
        <v>832.66666666666674</v>
      </c>
      <c r="F129" s="4">
        <f t="shared" si="7"/>
        <v>130.86666666666667</v>
      </c>
      <c r="G129" s="4">
        <f t="shared" si="8"/>
        <v>6.3627101375445756</v>
      </c>
    </row>
    <row r="130" spans="1:7" x14ac:dyDescent="0.2">
      <c r="A130" s="11">
        <v>507070</v>
      </c>
      <c r="B130" s="9">
        <v>0.3</v>
      </c>
      <c r="C130" s="12">
        <v>104.3</v>
      </c>
      <c r="D130" s="12">
        <v>17.84</v>
      </c>
      <c r="E130" s="4">
        <f t="shared" si="6"/>
        <v>347.66666666666669</v>
      </c>
      <c r="F130" s="4">
        <f t="shared" si="7"/>
        <v>59.466666666666669</v>
      </c>
      <c r="G130" s="4">
        <f t="shared" si="8"/>
        <v>5.8464125560538118</v>
      </c>
    </row>
    <row r="131" spans="1:7" x14ac:dyDescent="0.2">
      <c r="A131" s="11">
        <v>507070</v>
      </c>
      <c r="B131" s="9">
        <v>0.3</v>
      </c>
      <c r="C131" s="13">
        <v>118.3</v>
      </c>
      <c r="D131" s="13">
        <v>17.3</v>
      </c>
      <c r="E131" s="4">
        <f t="shared" si="6"/>
        <v>394.33333333333331</v>
      </c>
      <c r="F131" s="4">
        <f t="shared" si="7"/>
        <v>57.666666666666671</v>
      </c>
      <c r="G131" s="4">
        <f t="shared" si="8"/>
        <v>6.8381502890173405</v>
      </c>
    </row>
    <row r="132" spans="1:7" x14ac:dyDescent="0.2">
      <c r="A132" s="11">
        <v>507072</v>
      </c>
      <c r="B132" s="9">
        <v>0.3</v>
      </c>
      <c r="C132" s="12">
        <v>242.7</v>
      </c>
      <c r="D132" s="12">
        <v>34.729999999999997</v>
      </c>
      <c r="E132" s="4">
        <f t="shared" si="6"/>
        <v>809</v>
      </c>
      <c r="F132" s="4">
        <f t="shared" si="7"/>
        <v>115.76666666666667</v>
      </c>
      <c r="G132" s="4">
        <f t="shared" si="8"/>
        <v>6.9881946443996545</v>
      </c>
    </row>
    <row r="133" spans="1:7" x14ac:dyDescent="0.2">
      <c r="A133" s="11">
        <v>507072</v>
      </c>
      <c r="B133" s="9">
        <v>0.3</v>
      </c>
      <c r="C133" s="13">
        <v>215.4</v>
      </c>
      <c r="D133" s="13">
        <v>30.75</v>
      </c>
      <c r="E133" s="4">
        <f t="shared" si="6"/>
        <v>718</v>
      </c>
      <c r="F133" s="4">
        <f t="shared" si="7"/>
        <v>102.5</v>
      </c>
      <c r="G133" s="4">
        <f t="shared" si="8"/>
        <v>7.0048780487804878</v>
      </c>
    </row>
    <row r="134" spans="1:7" x14ac:dyDescent="0.2">
      <c r="A134" s="11">
        <v>507075</v>
      </c>
      <c r="B134" s="9">
        <v>0.3</v>
      </c>
      <c r="C134" s="12">
        <v>88.84</v>
      </c>
      <c r="D134" s="12">
        <v>13.45</v>
      </c>
      <c r="E134" s="4">
        <f t="shared" si="6"/>
        <v>296.13333333333338</v>
      </c>
      <c r="F134" s="4">
        <f t="shared" si="7"/>
        <v>44.833333333333336</v>
      </c>
      <c r="G134" s="4">
        <f t="shared" si="8"/>
        <v>6.6052044609665437</v>
      </c>
    </row>
    <row r="135" spans="1:7" x14ac:dyDescent="0.2">
      <c r="A135" s="11">
        <v>507075</v>
      </c>
      <c r="B135" s="9">
        <v>0.3</v>
      </c>
      <c r="C135" s="13">
        <v>97.26</v>
      </c>
      <c r="D135" s="13">
        <v>14.55</v>
      </c>
      <c r="E135" s="4">
        <f t="shared" si="6"/>
        <v>324.20000000000005</v>
      </c>
      <c r="F135" s="4">
        <f t="shared" si="7"/>
        <v>48.500000000000007</v>
      </c>
      <c r="G135" s="4">
        <f t="shared" si="8"/>
        <v>6.684536082474227</v>
      </c>
    </row>
    <row r="136" spans="1:7" x14ac:dyDescent="0.2">
      <c r="A136" s="11">
        <v>507077</v>
      </c>
      <c r="B136" s="9">
        <v>0.3</v>
      </c>
      <c r="C136" s="12">
        <v>398.9</v>
      </c>
      <c r="D136" s="12">
        <v>60.95</v>
      </c>
      <c r="E136" s="4">
        <f t="shared" si="6"/>
        <v>1329.6666666666667</v>
      </c>
      <c r="F136" s="4">
        <f t="shared" si="7"/>
        <v>203.16666666666669</v>
      </c>
      <c r="G136" s="4">
        <f t="shared" si="8"/>
        <v>6.544708777686628</v>
      </c>
    </row>
    <row r="137" spans="1:7" x14ac:dyDescent="0.2">
      <c r="A137">
        <v>507077</v>
      </c>
      <c r="B137" s="9">
        <v>0.3</v>
      </c>
      <c r="C137" s="4">
        <v>389.8</v>
      </c>
      <c r="D137" s="4">
        <v>59.16</v>
      </c>
      <c r="E137" s="4">
        <f t="shared" si="6"/>
        <v>1299.3333333333335</v>
      </c>
      <c r="F137" s="4">
        <f t="shared" si="7"/>
        <v>197.2</v>
      </c>
      <c r="G137" s="4">
        <f t="shared" si="8"/>
        <v>6.5889114266396218</v>
      </c>
    </row>
    <row r="138" spans="1:7" x14ac:dyDescent="0.2">
      <c r="A138">
        <v>507080</v>
      </c>
      <c r="B138" s="9">
        <v>0.3</v>
      </c>
      <c r="C138" s="4">
        <v>101.2</v>
      </c>
      <c r="D138" s="4">
        <v>14.69</v>
      </c>
      <c r="E138" s="4">
        <f t="shared" si="6"/>
        <v>337.33333333333337</v>
      </c>
      <c r="F138" s="4">
        <f t="shared" si="7"/>
        <v>48.966666666666669</v>
      </c>
      <c r="G138" s="4">
        <f t="shared" si="8"/>
        <v>6.8890401633764471</v>
      </c>
    </row>
    <row r="139" spans="1:7" x14ac:dyDescent="0.2">
      <c r="A139">
        <v>507080</v>
      </c>
      <c r="B139" s="9">
        <v>0.3</v>
      </c>
      <c r="C139" s="4">
        <v>103.3</v>
      </c>
      <c r="D139" s="4">
        <v>13.31</v>
      </c>
      <c r="E139" s="4">
        <f t="shared" si="6"/>
        <v>344.33333333333331</v>
      </c>
      <c r="F139" s="4">
        <f t="shared" si="7"/>
        <v>44.366666666666667</v>
      </c>
      <c r="G139" s="4">
        <f t="shared" si="8"/>
        <v>7.7610818933132979</v>
      </c>
    </row>
    <row r="140" spans="1:7" x14ac:dyDescent="0.2">
      <c r="A140">
        <v>507082</v>
      </c>
      <c r="B140" s="9">
        <v>0.3</v>
      </c>
      <c r="C140" s="4">
        <v>360.7</v>
      </c>
      <c r="D140" s="4">
        <v>60.12</v>
      </c>
      <c r="E140" s="4">
        <f t="shared" si="6"/>
        <v>1202.3333333333333</v>
      </c>
      <c r="F140" s="4">
        <f t="shared" si="7"/>
        <v>200.4</v>
      </c>
      <c r="G140" s="4">
        <f t="shared" si="8"/>
        <v>5.9996673320026614</v>
      </c>
    </row>
    <row r="141" spans="1:7" x14ac:dyDescent="0.2">
      <c r="A141">
        <v>507082</v>
      </c>
      <c r="B141" s="9">
        <v>0.3</v>
      </c>
      <c r="C141" s="4">
        <v>363.9</v>
      </c>
      <c r="D141" s="4">
        <v>58.61</v>
      </c>
      <c r="E141" s="4">
        <f t="shared" si="6"/>
        <v>1213</v>
      </c>
      <c r="F141" s="4">
        <f t="shared" si="7"/>
        <v>195.36666666666667</v>
      </c>
      <c r="G141" s="4">
        <f t="shared" si="8"/>
        <v>6.2088380822385254</v>
      </c>
    </row>
    <row r="142" spans="1:7" x14ac:dyDescent="0.2">
      <c r="A142">
        <v>507085</v>
      </c>
      <c r="B142" s="9">
        <v>0.3</v>
      </c>
      <c r="C142" s="4">
        <v>65.680000000000007</v>
      </c>
      <c r="D142" s="4">
        <v>12.49</v>
      </c>
      <c r="E142" s="4">
        <f t="shared" si="6"/>
        <v>218.93333333333337</v>
      </c>
      <c r="F142" s="4">
        <f t="shared" si="7"/>
        <v>41.633333333333333</v>
      </c>
      <c r="G142" s="4">
        <f t="shared" si="8"/>
        <v>5.2586068855084074</v>
      </c>
    </row>
    <row r="143" spans="1:7" x14ac:dyDescent="0.2">
      <c r="A143">
        <v>507085</v>
      </c>
      <c r="B143" s="9">
        <v>0.3</v>
      </c>
      <c r="C143" s="4">
        <v>60.5</v>
      </c>
      <c r="D143" s="4">
        <v>10.16</v>
      </c>
      <c r="E143" s="4">
        <f t="shared" si="6"/>
        <v>201.66666666666669</v>
      </c>
      <c r="F143" s="4">
        <f t="shared" si="7"/>
        <v>33.866666666666667</v>
      </c>
      <c r="G143" s="4">
        <f t="shared" si="8"/>
        <v>5.9547244094488185</v>
      </c>
    </row>
    <row r="144" spans="1:7" x14ac:dyDescent="0.2">
      <c r="A144">
        <v>507087</v>
      </c>
      <c r="B144" s="9">
        <v>0.3</v>
      </c>
      <c r="C144" s="4">
        <v>339.2</v>
      </c>
      <c r="D144" s="4">
        <v>61.08</v>
      </c>
      <c r="E144" s="4">
        <f t="shared" si="6"/>
        <v>1130.6666666666667</v>
      </c>
      <c r="F144" s="4">
        <f t="shared" si="7"/>
        <v>203.6</v>
      </c>
      <c r="G144" s="4">
        <f t="shared" si="8"/>
        <v>5.5533726260641778</v>
      </c>
    </row>
    <row r="145" spans="1:7" x14ac:dyDescent="0.2">
      <c r="A145">
        <v>507087</v>
      </c>
      <c r="B145" s="9">
        <v>0.3</v>
      </c>
      <c r="C145" s="4">
        <v>334.3</v>
      </c>
      <c r="D145" s="4">
        <v>59.44</v>
      </c>
      <c r="E145" s="4">
        <f t="shared" si="6"/>
        <v>1114.3333333333335</v>
      </c>
      <c r="F145" s="4">
        <f t="shared" si="7"/>
        <v>198.13333333333333</v>
      </c>
      <c r="G145" s="4">
        <f t="shared" si="8"/>
        <v>5.6241588156123825</v>
      </c>
    </row>
    <row r="146" spans="1:7" x14ac:dyDescent="0.2">
      <c r="A146">
        <v>507090</v>
      </c>
      <c r="B146" s="9">
        <v>0.3</v>
      </c>
      <c r="C146" s="4">
        <v>65.680000000000007</v>
      </c>
      <c r="D146" s="4">
        <v>9.33</v>
      </c>
      <c r="E146" s="4">
        <f t="shared" si="6"/>
        <v>218.93333333333337</v>
      </c>
      <c r="F146" s="4">
        <f t="shared" si="7"/>
        <v>31.1</v>
      </c>
      <c r="G146" s="4">
        <f t="shared" si="8"/>
        <v>7.0396570203644169</v>
      </c>
    </row>
    <row r="147" spans="1:7" x14ac:dyDescent="0.2">
      <c r="A147">
        <v>507090</v>
      </c>
      <c r="B147" s="9">
        <v>0.3</v>
      </c>
      <c r="C147" s="4">
        <v>62.22</v>
      </c>
      <c r="D147" s="4">
        <v>10.02</v>
      </c>
      <c r="E147" s="4">
        <f t="shared" si="6"/>
        <v>207.4</v>
      </c>
      <c r="F147" s="4">
        <f t="shared" si="7"/>
        <v>33.4</v>
      </c>
      <c r="G147" s="4">
        <f t="shared" si="8"/>
        <v>6.2095808383233537</v>
      </c>
    </row>
    <row r="148" spans="1:7" x14ac:dyDescent="0.2">
      <c r="A148" s="19">
        <v>507092</v>
      </c>
      <c r="B148" s="20">
        <v>0.3</v>
      </c>
      <c r="C148" s="18" t="s">
        <v>10</v>
      </c>
      <c r="D148" s="18" t="s">
        <v>11</v>
      </c>
      <c r="E148" s="22" t="s">
        <v>11</v>
      </c>
      <c r="F148" s="22" t="s">
        <v>11</v>
      </c>
      <c r="G148" s="22" t="s">
        <v>11</v>
      </c>
    </row>
    <row r="149" spans="1:7" x14ac:dyDescent="0.2">
      <c r="A149">
        <v>507092</v>
      </c>
      <c r="B149" s="9">
        <v>0.3</v>
      </c>
      <c r="C149" s="4">
        <v>391.6</v>
      </c>
      <c r="D149" s="4">
        <v>63.97</v>
      </c>
      <c r="E149" s="4">
        <f t="shared" si="6"/>
        <v>1305.3333333333335</v>
      </c>
      <c r="F149" s="4">
        <f t="shared" si="7"/>
        <v>213.23333333333335</v>
      </c>
      <c r="G149" s="4">
        <f t="shared" si="8"/>
        <v>6.1216195091449119</v>
      </c>
    </row>
    <row r="150" spans="1:7" x14ac:dyDescent="0.2">
      <c r="A150" s="19">
        <v>507095</v>
      </c>
      <c r="B150" s="20">
        <v>0.3</v>
      </c>
      <c r="C150" s="18" t="s">
        <v>10</v>
      </c>
      <c r="D150" s="18" t="s">
        <v>11</v>
      </c>
      <c r="E150" s="22" t="s">
        <v>11</v>
      </c>
      <c r="F150" s="22" t="s">
        <v>11</v>
      </c>
      <c r="G150" s="22" t="s">
        <v>11</v>
      </c>
    </row>
    <row r="151" spans="1:7" x14ac:dyDescent="0.2">
      <c r="A151">
        <v>507095</v>
      </c>
      <c r="B151" s="9">
        <v>0.3</v>
      </c>
      <c r="C151" s="4">
        <v>68.81</v>
      </c>
      <c r="D151" s="4">
        <v>13.04</v>
      </c>
      <c r="E151" s="4">
        <f t="shared" si="6"/>
        <v>229.36666666666667</v>
      </c>
      <c r="F151" s="4">
        <f t="shared" si="7"/>
        <v>43.466666666666669</v>
      </c>
      <c r="G151" s="4">
        <f t="shared" si="8"/>
        <v>5.2768404907975466</v>
      </c>
    </row>
    <row r="152" spans="1:7" x14ac:dyDescent="0.2">
      <c r="A152" s="19">
        <v>507097</v>
      </c>
      <c r="B152" s="20">
        <v>0.3</v>
      </c>
      <c r="C152" s="18" t="s">
        <v>10</v>
      </c>
      <c r="D152" s="18" t="s">
        <v>11</v>
      </c>
      <c r="E152" s="22" t="s">
        <v>11</v>
      </c>
      <c r="F152" s="22" t="s">
        <v>11</v>
      </c>
      <c r="G152" s="22" t="s">
        <v>11</v>
      </c>
    </row>
    <row r="153" spans="1:7" x14ac:dyDescent="0.2">
      <c r="A153">
        <v>507097</v>
      </c>
      <c r="B153" s="9">
        <v>0.3</v>
      </c>
      <c r="C153" s="4">
        <v>512.9</v>
      </c>
      <c r="D153" s="4">
        <v>78.790000000000006</v>
      </c>
      <c r="E153" s="4">
        <f t="shared" si="6"/>
        <v>1709.6666666666667</v>
      </c>
      <c r="F153" s="4">
        <f t="shared" si="7"/>
        <v>262.63333333333338</v>
      </c>
      <c r="G153" s="4">
        <f t="shared" si="8"/>
        <v>6.5097093539789306</v>
      </c>
    </row>
    <row r="154" spans="1:7" x14ac:dyDescent="0.2">
      <c r="A154" s="19">
        <v>507100</v>
      </c>
      <c r="B154" s="20">
        <v>0.3</v>
      </c>
      <c r="C154" s="18" t="s">
        <v>10</v>
      </c>
      <c r="D154" s="18" t="s">
        <v>11</v>
      </c>
      <c r="E154" s="22" t="s">
        <v>11</v>
      </c>
      <c r="F154" s="22" t="s">
        <v>11</v>
      </c>
      <c r="G154" s="22" t="s">
        <v>11</v>
      </c>
    </row>
    <row r="155" spans="1:7" x14ac:dyDescent="0.2">
      <c r="A155">
        <v>507100</v>
      </c>
      <c r="B155" s="9">
        <v>0.3</v>
      </c>
      <c r="C155" s="4">
        <v>64.89</v>
      </c>
      <c r="D155" s="4">
        <v>13.59</v>
      </c>
      <c r="E155" s="4">
        <f t="shared" si="6"/>
        <v>216.3</v>
      </c>
      <c r="F155" s="4">
        <f t="shared" si="7"/>
        <v>45.300000000000004</v>
      </c>
      <c r="G155" s="4">
        <f t="shared" si="8"/>
        <v>4.7748344370860929</v>
      </c>
    </row>
    <row r="156" spans="1:7" x14ac:dyDescent="0.2">
      <c r="A156" s="19">
        <v>507102</v>
      </c>
      <c r="B156" s="20">
        <v>0.3</v>
      </c>
      <c r="C156" s="18" t="s">
        <v>10</v>
      </c>
      <c r="D156" s="18" t="s">
        <v>11</v>
      </c>
      <c r="E156" s="22" t="s">
        <v>11</v>
      </c>
      <c r="F156" s="22" t="s">
        <v>11</v>
      </c>
      <c r="G156" s="22" t="s">
        <v>11</v>
      </c>
    </row>
    <row r="157" spans="1:7" x14ac:dyDescent="0.2">
      <c r="A157">
        <v>507102</v>
      </c>
      <c r="B157" s="9">
        <v>0.3</v>
      </c>
      <c r="C157" s="4">
        <v>467.1</v>
      </c>
      <c r="D157" s="4">
        <v>78.239999999999995</v>
      </c>
      <c r="E157" s="4">
        <f t="shared" si="6"/>
        <v>1557.0000000000002</v>
      </c>
      <c r="F157" s="4">
        <f t="shared" si="7"/>
        <v>260.8</v>
      </c>
      <c r="G157" s="4">
        <f t="shared" si="8"/>
        <v>5.9700920245398779</v>
      </c>
    </row>
    <row r="158" spans="1:7" x14ac:dyDescent="0.2">
      <c r="A158" s="19">
        <v>507105</v>
      </c>
      <c r="B158" s="20">
        <v>0.3</v>
      </c>
      <c r="C158" s="18" t="s">
        <v>10</v>
      </c>
      <c r="D158" s="18" t="s">
        <v>11</v>
      </c>
      <c r="E158" s="22" t="s">
        <v>11</v>
      </c>
      <c r="F158" s="22" t="s">
        <v>11</v>
      </c>
      <c r="G158" s="22" t="s">
        <v>11</v>
      </c>
    </row>
    <row r="159" spans="1:7" x14ac:dyDescent="0.2">
      <c r="A159">
        <v>507105</v>
      </c>
      <c r="B159" s="9">
        <v>0.3</v>
      </c>
      <c r="C159" s="4">
        <v>85.44</v>
      </c>
      <c r="D159" s="4">
        <v>16.059999999999999</v>
      </c>
      <c r="E159" s="4">
        <f t="shared" si="6"/>
        <v>284.8</v>
      </c>
      <c r="F159" s="4">
        <f t="shared" si="7"/>
        <v>53.533333333333331</v>
      </c>
      <c r="G159" s="4">
        <f t="shared" si="8"/>
        <v>5.3200498132004981</v>
      </c>
    </row>
    <row r="160" spans="1:7" x14ac:dyDescent="0.2">
      <c r="A160" s="19">
        <v>507107</v>
      </c>
      <c r="B160" s="20">
        <v>0.3</v>
      </c>
      <c r="C160" s="18" t="s">
        <v>10</v>
      </c>
      <c r="D160" s="18" t="s">
        <v>11</v>
      </c>
      <c r="E160" s="22" t="s">
        <v>11</v>
      </c>
      <c r="F160" s="22" t="s">
        <v>11</v>
      </c>
      <c r="G160" s="22" t="s">
        <v>11</v>
      </c>
    </row>
    <row r="161" spans="1:7" x14ac:dyDescent="0.2">
      <c r="A161">
        <v>507107</v>
      </c>
      <c r="B161" s="9">
        <v>0.3</v>
      </c>
      <c r="C161" s="4">
        <v>315.10000000000002</v>
      </c>
      <c r="D161" s="4">
        <v>56.42</v>
      </c>
      <c r="E161" s="4">
        <f t="shared" si="6"/>
        <v>1050.3333333333335</v>
      </c>
      <c r="F161" s="4">
        <f t="shared" si="7"/>
        <v>188.06666666666669</v>
      </c>
      <c r="G161" s="4">
        <f t="shared" si="8"/>
        <v>5.584898971995746</v>
      </c>
    </row>
    <row r="162" spans="1:7" x14ac:dyDescent="0.2">
      <c r="A162" s="19">
        <v>507110</v>
      </c>
      <c r="B162" s="20">
        <v>0.3</v>
      </c>
      <c r="C162" s="18" t="s">
        <v>10</v>
      </c>
      <c r="D162" s="18" t="s">
        <v>11</v>
      </c>
      <c r="E162" s="22" t="s">
        <v>11</v>
      </c>
      <c r="F162" s="22" t="s">
        <v>11</v>
      </c>
      <c r="G162" s="22" t="s">
        <v>11</v>
      </c>
    </row>
    <row r="163" spans="1:7" x14ac:dyDescent="0.2">
      <c r="A163">
        <v>507110</v>
      </c>
      <c r="B163" s="9">
        <v>0.3</v>
      </c>
      <c r="C163" s="4">
        <v>58.46</v>
      </c>
      <c r="D163" s="4">
        <v>12.9</v>
      </c>
      <c r="E163" s="4">
        <f t="shared" si="6"/>
        <v>194.86666666666667</v>
      </c>
      <c r="F163" s="4">
        <f t="shared" si="7"/>
        <v>43</v>
      </c>
      <c r="G163" s="4">
        <f t="shared" si="8"/>
        <v>4.5317829457364338</v>
      </c>
    </row>
    <row r="164" spans="1:7" x14ac:dyDescent="0.2">
      <c r="A164" s="19">
        <v>507112</v>
      </c>
      <c r="B164" s="20">
        <v>0.3</v>
      </c>
      <c r="C164" s="18" t="s">
        <v>10</v>
      </c>
      <c r="D164" s="18" t="s">
        <v>11</v>
      </c>
      <c r="E164" s="22" t="s">
        <v>11</v>
      </c>
      <c r="F164" s="22" t="s">
        <v>11</v>
      </c>
      <c r="G164" s="22" t="s">
        <v>11</v>
      </c>
    </row>
    <row r="165" spans="1:7" x14ac:dyDescent="0.2">
      <c r="A165">
        <v>507112</v>
      </c>
      <c r="B165" s="9">
        <v>0.3</v>
      </c>
      <c r="C165" s="4">
        <v>297.39999999999998</v>
      </c>
      <c r="D165" s="4">
        <v>43.1</v>
      </c>
      <c r="E165" s="4">
        <f t="shared" si="6"/>
        <v>991.33333333333326</v>
      </c>
      <c r="F165" s="4">
        <f t="shared" si="7"/>
        <v>143.66666666666669</v>
      </c>
      <c r="G165" s="4">
        <f t="shared" si="8"/>
        <v>6.9002320185614838</v>
      </c>
    </row>
    <row r="166" spans="1:7" x14ac:dyDescent="0.2">
      <c r="A166" s="19">
        <v>507115</v>
      </c>
      <c r="B166" s="20">
        <v>0.3</v>
      </c>
      <c r="C166" s="18" t="s">
        <v>10</v>
      </c>
      <c r="D166" s="18" t="s">
        <v>11</v>
      </c>
      <c r="E166" s="22" t="s">
        <v>11</v>
      </c>
      <c r="F166" s="22" t="s">
        <v>11</v>
      </c>
      <c r="G166" s="22" t="s">
        <v>11</v>
      </c>
    </row>
    <row r="167" spans="1:7" x14ac:dyDescent="0.2">
      <c r="A167">
        <v>507115</v>
      </c>
      <c r="B167" s="9">
        <v>0.3</v>
      </c>
      <c r="C167" s="4">
        <v>50.15</v>
      </c>
      <c r="D167" s="4">
        <v>10.3</v>
      </c>
      <c r="E167" s="4">
        <f t="shared" ref="E166:E209" si="9">(C167/B167)</f>
        <v>167.16666666666666</v>
      </c>
      <c r="F167" s="4">
        <f t="shared" ref="F166:F209" si="10">(D167/B167)</f>
        <v>34.333333333333336</v>
      </c>
      <c r="G167" s="4">
        <f t="shared" ref="G166:G209" si="11">(C167/D167)</f>
        <v>4.8689320388349513</v>
      </c>
    </row>
    <row r="168" spans="1:7" x14ac:dyDescent="0.2">
      <c r="A168" s="19">
        <v>507117</v>
      </c>
      <c r="B168" s="20">
        <v>0.3</v>
      </c>
      <c r="C168" s="18" t="s">
        <v>10</v>
      </c>
      <c r="D168" s="18" t="s">
        <v>11</v>
      </c>
      <c r="E168" s="22" t="s">
        <v>11</v>
      </c>
      <c r="F168" s="22" t="s">
        <v>11</v>
      </c>
      <c r="G168" s="22" t="s">
        <v>11</v>
      </c>
    </row>
    <row r="169" spans="1:7" x14ac:dyDescent="0.2">
      <c r="A169">
        <v>507117</v>
      </c>
      <c r="B169" s="9">
        <v>0.3</v>
      </c>
      <c r="C169" s="4">
        <v>282.5</v>
      </c>
      <c r="D169" s="4">
        <v>42.1</v>
      </c>
      <c r="E169" s="4">
        <f t="shared" si="9"/>
        <v>941.66666666666674</v>
      </c>
      <c r="F169" s="4">
        <f t="shared" si="10"/>
        <v>140.33333333333334</v>
      </c>
      <c r="G169" s="4">
        <f t="shared" si="11"/>
        <v>6.7102137767220897</v>
      </c>
    </row>
    <row r="170" spans="1:7" x14ac:dyDescent="0.2">
      <c r="A170" s="19">
        <v>507120</v>
      </c>
      <c r="B170" s="20">
        <v>0.3</v>
      </c>
      <c r="C170" s="18" t="s">
        <v>10</v>
      </c>
      <c r="D170" s="18" t="s">
        <v>11</v>
      </c>
      <c r="E170" s="22" t="s">
        <v>11</v>
      </c>
      <c r="F170" s="22" t="s">
        <v>11</v>
      </c>
      <c r="G170" s="22" t="s">
        <v>11</v>
      </c>
    </row>
    <row r="171" spans="1:7" x14ac:dyDescent="0.2">
      <c r="A171">
        <v>507120</v>
      </c>
      <c r="B171" s="9">
        <v>0.3</v>
      </c>
      <c r="C171" s="4">
        <v>47.85</v>
      </c>
      <c r="D171" s="4">
        <v>10.71</v>
      </c>
      <c r="E171" s="4">
        <f t="shared" si="9"/>
        <v>159.5</v>
      </c>
      <c r="F171" s="4">
        <f t="shared" si="10"/>
        <v>35.700000000000003</v>
      </c>
      <c r="G171" s="4">
        <f t="shared" si="11"/>
        <v>4.4677871148459385</v>
      </c>
    </row>
    <row r="172" spans="1:7" x14ac:dyDescent="0.2">
      <c r="A172" s="19">
        <v>507122</v>
      </c>
      <c r="B172" s="20">
        <v>0.3</v>
      </c>
      <c r="C172" s="18" t="s">
        <v>10</v>
      </c>
      <c r="D172" s="18" t="s">
        <v>11</v>
      </c>
      <c r="E172" s="22" t="s">
        <v>11</v>
      </c>
      <c r="F172" s="22" t="s">
        <v>11</v>
      </c>
      <c r="G172" s="22" t="s">
        <v>11</v>
      </c>
    </row>
    <row r="173" spans="1:7" x14ac:dyDescent="0.2">
      <c r="A173">
        <v>507122</v>
      </c>
      <c r="B173" s="9">
        <v>0.3</v>
      </c>
      <c r="C173" s="4">
        <v>88.53</v>
      </c>
      <c r="D173" s="4">
        <v>17.57</v>
      </c>
      <c r="E173" s="4">
        <f t="shared" si="9"/>
        <v>295.10000000000002</v>
      </c>
      <c r="F173" s="4">
        <f t="shared" si="10"/>
        <v>58.56666666666667</v>
      </c>
      <c r="G173" s="4">
        <f t="shared" si="11"/>
        <v>5.0387023335230507</v>
      </c>
    </row>
    <row r="174" spans="1:7" x14ac:dyDescent="0.2">
      <c r="A174" s="19">
        <v>507125</v>
      </c>
      <c r="B174" s="20">
        <v>0.3</v>
      </c>
      <c r="C174" s="18" t="s">
        <v>10</v>
      </c>
      <c r="D174" s="18" t="s">
        <v>11</v>
      </c>
      <c r="E174" s="22" t="s">
        <v>11</v>
      </c>
      <c r="F174" s="22" t="s">
        <v>11</v>
      </c>
      <c r="G174" s="22" t="s">
        <v>11</v>
      </c>
    </row>
    <row r="175" spans="1:7" x14ac:dyDescent="0.2">
      <c r="A175">
        <v>507125</v>
      </c>
      <c r="B175" s="9">
        <v>0.3</v>
      </c>
      <c r="C175" s="4">
        <v>55.53</v>
      </c>
      <c r="D175" s="4">
        <v>7</v>
      </c>
      <c r="E175" s="4">
        <f t="shared" si="9"/>
        <v>185.10000000000002</v>
      </c>
      <c r="F175" s="4">
        <f t="shared" si="10"/>
        <v>23.333333333333336</v>
      </c>
      <c r="G175" s="4">
        <f t="shared" si="11"/>
        <v>7.9328571428571433</v>
      </c>
    </row>
    <row r="176" spans="1:7" x14ac:dyDescent="0.2">
      <c r="A176" s="19">
        <v>507127</v>
      </c>
      <c r="B176" s="20">
        <v>0.3</v>
      </c>
      <c r="C176" s="18" t="s">
        <v>10</v>
      </c>
      <c r="D176" s="18" t="s">
        <v>11</v>
      </c>
      <c r="E176" s="22" t="s">
        <v>11</v>
      </c>
      <c r="F176" s="22" t="s">
        <v>11</v>
      </c>
      <c r="G176" s="22" t="s">
        <v>11</v>
      </c>
    </row>
    <row r="177" spans="1:7" x14ac:dyDescent="0.2">
      <c r="A177">
        <v>507127</v>
      </c>
      <c r="B177" s="9">
        <v>0.3</v>
      </c>
      <c r="C177" s="4">
        <v>66.09</v>
      </c>
      <c r="D177" s="4">
        <v>10.98</v>
      </c>
      <c r="E177" s="4">
        <f t="shared" si="9"/>
        <v>220.3</v>
      </c>
      <c r="F177" s="4">
        <f t="shared" si="10"/>
        <v>36.6</v>
      </c>
      <c r="G177" s="4">
        <f t="shared" si="11"/>
        <v>6.0191256830601096</v>
      </c>
    </row>
    <row r="178" spans="1:7" x14ac:dyDescent="0.2">
      <c r="A178" s="19">
        <v>507130</v>
      </c>
      <c r="B178" s="20">
        <v>0.3</v>
      </c>
      <c r="C178" s="18" t="s">
        <v>10</v>
      </c>
      <c r="D178" s="18" t="s">
        <v>11</v>
      </c>
      <c r="E178" s="22" t="s">
        <v>11</v>
      </c>
      <c r="F178" s="22" t="s">
        <v>11</v>
      </c>
      <c r="G178" s="22" t="s">
        <v>11</v>
      </c>
    </row>
    <row r="179" spans="1:7" x14ac:dyDescent="0.2">
      <c r="A179">
        <v>507130</v>
      </c>
      <c r="B179" s="9">
        <v>0.3</v>
      </c>
      <c r="C179" s="4">
        <v>52.24</v>
      </c>
      <c r="D179" s="4">
        <v>9.1999999999999993</v>
      </c>
      <c r="E179" s="4">
        <f t="shared" si="9"/>
        <v>174.13333333333335</v>
      </c>
      <c r="F179" s="4">
        <f t="shared" si="10"/>
        <v>30.666666666666664</v>
      </c>
      <c r="G179" s="4">
        <f t="shared" si="11"/>
        <v>5.6782608695652179</v>
      </c>
    </row>
    <row r="180" spans="1:7" x14ac:dyDescent="0.2">
      <c r="A180" s="19">
        <v>507132</v>
      </c>
      <c r="B180" s="20">
        <v>0.3</v>
      </c>
      <c r="C180" s="18" t="s">
        <v>10</v>
      </c>
      <c r="D180" s="18" t="s">
        <v>11</v>
      </c>
      <c r="E180" s="22" t="s">
        <v>11</v>
      </c>
      <c r="F180" s="22" t="s">
        <v>11</v>
      </c>
      <c r="G180" s="22" t="s">
        <v>11</v>
      </c>
    </row>
    <row r="181" spans="1:7" x14ac:dyDescent="0.2">
      <c r="A181">
        <v>507132</v>
      </c>
      <c r="B181" s="9">
        <v>0.3</v>
      </c>
      <c r="C181" s="4">
        <v>58.41</v>
      </c>
      <c r="D181" s="4">
        <v>10.84</v>
      </c>
      <c r="E181" s="4">
        <f t="shared" si="9"/>
        <v>194.7</v>
      </c>
      <c r="F181" s="4">
        <f t="shared" si="10"/>
        <v>36.133333333333333</v>
      </c>
      <c r="G181" s="4">
        <f t="shared" si="11"/>
        <v>5.3883763837638377</v>
      </c>
    </row>
    <row r="182" spans="1:7" x14ac:dyDescent="0.2">
      <c r="A182" s="19">
        <v>507135</v>
      </c>
      <c r="B182" s="20">
        <v>0.3</v>
      </c>
      <c r="C182" s="18" t="s">
        <v>10</v>
      </c>
      <c r="D182" s="18" t="s">
        <v>11</v>
      </c>
      <c r="E182" s="22" t="s">
        <v>11</v>
      </c>
      <c r="F182" s="22" t="s">
        <v>11</v>
      </c>
      <c r="G182" s="22" t="s">
        <v>11</v>
      </c>
    </row>
    <row r="183" spans="1:7" x14ac:dyDescent="0.2">
      <c r="A183">
        <v>507135</v>
      </c>
      <c r="B183" s="9">
        <v>0.3</v>
      </c>
      <c r="C183" s="4">
        <v>40.42</v>
      </c>
      <c r="D183" s="4">
        <v>6.31</v>
      </c>
      <c r="E183" s="4">
        <f t="shared" si="9"/>
        <v>134.73333333333335</v>
      </c>
      <c r="F183" s="4">
        <f t="shared" si="10"/>
        <v>21.033333333333331</v>
      </c>
      <c r="G183" s="4">
        <f t="shared" si="11"/>
        <v>6.4057052297939787</v>
      </c>
    </row>
    <row r="184" spans="1:7" x14ac:dyDescent="0.2">
      <c r="A184" s="19">
        <v>507137</v>
      </c>
      <c r="B184" s="20">
        <v>0.3</v>
      </c>
      <c r="C184" s="18" t="s">
        <v>10</v>
      </c>
      <c r="D184" s="18" t="s">
        <v>11</v>
      </c>
      <c r="E184" s="22" t="s">
        <v>11</v>
      </c>
      <c r="F184" s="22" t="s">
        <v>11</v>
      </c>
      <c r="G184" s="22" t="s">
        <v>11</v>
      </c>
    </row>
    <row r="185" spans="1:7" x14ac:dyDescent="0.2">
      <c r="A185">
        <v>507137</v>
      </c>
      <c r="B185" s="9">
        <v>0.3</v>
      </c>
      <c r="C185" s="4">
        <v>69.34</v>
      </c>
      <c r="D185" s="4">
        <v>13.73</v>
      </c>
      <c r="E185" s="4">
        <f t="shared" si="9"/>
        <v>231.13333333333335</v>
      </c>
      <c r="F185" s="4">
        <f t="shared" si="10"/>
        <v>45.766666666666673</v>
      </c>
      <c r="G185" s="4">
        <f t="shared" si="11"/>
        <v>5.0502549162418067</v>
      </c>
    </row>
    <row r="186" spans="1:7" x14ac:dyDescent="0.2">
      <c r="A186" s="19">
        <v>507140</v>
      </c>
      <c r="B186" s="20">
        <v>0.3</v>
      </c>
      <c r="C186" s="18" t="s">
        <v>10</v>
      </c>
      <c r="D186" s="18" t="s">
        <v>11</v>
      </c>
      <c r="E186" s="22" t="s">
        <v>11</v>
      </c>
      <c r="F186" s="22" t="s">
        <v>11</v>
      </c>
      <c r="G186" s="22" t="s">
        <v>11</v>
      </c>
    </row>
    <row r="187" spans="1:7" x14ac:dyDescent="0.2">
      <c r="A187">
        <v>507140</v>
      </c>
      <c r="B187" s="9">
        <v>0.3</v>
      </c>
      <c r="C187">
        <v>46.96</v>
      </c>
      <c r="D187">
        <v>7.14</v>
      </c>
      <c r="E187" s="4">
        <f t="shared" si="9"/>
        <v>156.53333333333333</v>
      </c>
      <c r="F187" s="4">
        <f t="shared" si="10"/>
        <v>23.8</v>
      </c>
      <c r="G187" s="4">
        <f t="shared" si="11"/>
        <v>6.5770308123249306</v>
      </c>
    </row>
    <row r="188" spans="1:7" x14ac:dyDescent="0.2">
      <c r="A188" s="19">
        <v>507142</v>
      </c>
      <c r="B188" s="20">
        <v>0.3</v>
      </c>
      <c r="C188" s="18" t="s">
        <v>10</v>
      </c>
      <c r="D188" s="18" t="s">
        <v>11</v>
      </c>
      <c r="E188" s="22" t="s">
        <v>11</v>
      </c>
      <c r="F188" s="22" t="s">
        <v>11</v>
      </c>
      <c r="G188" s="22" t="s">
        <v>11</v>
      </c>
    </row>
    <row r="189" spans="1:7" x14ac:dyDescent="0.2">
      <c r="A189">
        <v>507142</v>
      </c>
      <c r="B189" s="9">
        <v>0.3</v>
      </c>
      <c r="C189">
        <v>90.36</v>
      </c>
      <c r="D189">
        <v>14.14</v>
      </c>
      <c r="E189" s="4">
        <f t="shared" si="9"/>
        <v>301.2</v>
      </c>
      <c r="F189" s="4">
        <f t="shared" si="10"/>
        <v>47.13333333333334</v>
      </c>
      <c r="G189" s="4">
        <f t="shared" si="11"/>
        <v>6.3903818953323901</v>
      </c>
    </row>
    <row r="190" spans="1:7" x14ac:dyDescent="0.2">
      <c r="A190" s="19">
        <v>507145</v>
      </c>
      <c r="B190" s="20">
        <v>0.3</v>
      </c>
      <c r="C190" s="18" t="s">
        <v>10</v>
      </c>
      <c r="D190" s="18" t="s">
        <v>11</v>
      </c>
      <c r="E190" s="22" t="s">
        <v>11</v>
      </c>
      <c r="F190" s="22" t="s">
        <v>11</v>
      </c>
      <c r="G190" s="22" t="s">
        <v>11</v>
      </c>
    </row>
    <row r="191" spans="1:7" x14ac:dyDescent="0.2">
      <c r="A191">
        <v>507145</v>
      </c>
      <c r="B191" s="9">
        <v>0.3</v>
      </c>
      <c r="C191">
        <v>51.98</v>
      </c>
      <c r="D191">
        <v>5.49</v>
      </c>
      <c r="E191" s="4">
        <f t="shared" si="9"/>
        <v>173.26666666666665</v>
      </c>
      <c r="F191" s="4">
        <f t="shared" si="10"/>
        <v>18.3</v>
      </c>
      <c r="G191" s="4">
        <f t="shared" si="11"/>
        <v>9.4681238615664842</v>
      </c>
    </row>
    <row r="192" spans="1:7" x14ac:dyDescent="0.2">
      <c r="A192" s="19">
        <v>507147</v>
      </c>
      <c r="B192" s="20">
        <v>0.3</v>
      </c>
      <c r="C192" s="18" t="s">
        <v>10</v>
      </c>
      <c r="D192" s="18" t="s">
        <v>11</v>
      </c>
      <c r="E192" s="22" t="s">
        <v>11</v>
      </c>
      <c r="F192" s="22" t="s">
        <v>11</v>
      </c>
      <c r="G192" s="22" t="s">
        <v>11</v>
      </c>
    </row>
    <row r="193" spans="1:9" x14ac:dyDescent="0.2">
      <c r="A193">
        <v>507147</v>
      </c>
      <c r="B193" s="9">
        <v>0.3</v>
      </c>
      <c r="C193">
        <v>113.5</v>
      </c>
      <c r="D193">
        <v>22.51</v>
      </c>
      <c r="E193" s="4">
        <f t="shared" si="9"/>
        <v>378.33333333333337</v>
      </c>
      <c r="F193" s="4">
        <f t="shared" si="10"/>
        <v>75.033333333333346</v>
      </c>
      <c r="G193" s="4">
        <f t="shared" si="11"/>
        <v>5.0422034651266099</v>
      </c>
    </row>
    <row r="194" spans="1:9" x14ac:dyDescent="0.2">
      <c r="A194" s="19">
        <v>507150</v>
      </c>
      <c r="B194" s="20">
        <v>0.3</v>
      </c>
      <c r="C194" s="18" t="s">
        <v>10</v>
      </c>
      <c r="D194" s="18" t="s">
        <v>11</v>
      </c>
      <c r="E194" s="22" t="s">
        <v>11</v>
      </c>
      <c r="F194" s="22" t="s">
        <v>11</v>
      </c>
      <c r="G194" s="22" t="s">
        <v>11</v>
      </c>
    </row>
    <row r="195" spans="1:9" x14ac:dyDescent="0.2">
      <c r="A195">
        <v>507150</v>
      </c>
      <c r="B195" s="9">
        <v>0.3</v>
      </c>
      <c r="C195" s="4">
        <v>30.8</v>
      </c>
      <c r="D195" s="4">
        <v>4.12</v>
      </c>
      <c r="E195" s="4">
        <f t="shared" si="9"/>
        <v>102.66666666666667</v>
      </c>
      <c r="F195" s="4">
        <f t="shared" si="10"/>
        <v>13.733333333333334</v>
      </c>
      <c r="G195" s="4">
        <f t="shared" si="11"/>
        <v>7.4757281553398061</v>
      </c>
      <c r="H195" s="4"/>
      <c r="I195" s="4"/>
    </row>
    <row r="196" spans="1:9" x14ac:dyDescent="0.2">
      <c r="A196" s="19">
        <v>507152</v>
      </c>
      <c r="B196" s="20">
        <v>0.3</v>
      </c>
      <c r="C196" s="18" t="s">
        <v>10</v>
      </c>
      <c r="D196" s="18" t="s">
        <v>11</v>
      </c>
      <c r="E196" s="22" t="s">
        <v>11</v>
      </c>
      <c r="F196" s="22" t="s">
        <v>11</v>
      </c>
      <c r="G196" s="22" t="s">
        <v>11</v>
      </c>
      <c r="H196" s="4"/>
      <c r="I196" s="4"/>
    </row>
    <row r="197" spans="1:9" x14ac:dyDescent="0.2">
      <c r="A197">
        <v>507152</v>
      </c>
      <c r="B197" s="9">
        <v>0.3</v>
      </c>
      <c r="C197" s="4">
        <v>261.5</v>
      </c>
      <c r="D197" s="4">
        <v>42.69</v>
      </c>
      <c r="E197" s="4">
        <f t="shared" si="9"/>
        <v>871.66666666666674</v>
      </c>
      <c r="F197" s="4">
        <f t="shared" si="10"/>
        <v>142.30000000000001</v>
      </c>
      <c r="G197" s="4">
        <f t="shared" si="11"/>
        <v>6.1255563363785432</v>
      </c>
      <c r="H197" s="4"/>
      <c r="I197" s="4"/>
    </row>
    <row r="198" spans="1:9" x14ac:dyDescent="0.2">
      <c r="A198">
        <v>507155</v>
      </c>
      <c r="B198" s="9">
        <v>0.3</v>
      </c>
      <c r="C198" s="4">
        <v>70.12</v>
      </c>
      <c r="D198" s="4">
        <v>8.1</v>
      </c>
      <c r="E198" s="4">
        <f t="shared" si="9"/>
        <v>233.73333333333335</v>
      </c>
      <c r="F198" s="4">
        <f t="shared" si="10"/>
        <v>27</v>
      </c>
      <c r="G198" s="4">
        <f t="shared" si="11"/>
        <v>8.6567901234567906</v>
      </c>
      <c r="H198" s="4"/>
      <c r="I198" s="4"/>
    </row>
    <row r="199" spans="1:9" x14ac:dyDescent="0.2">
      <c r="A199">
        <v>507155</v>
      </c>
      <c r="B199" s="9">
        <v>0.3</v>
      </c>
      <c r="C199" s="4">
        <v>65.209999999999994</v>
      </c>
      <c r="D199" s="4">
        <v>7.28</v>
      </c>
      <c r="E199" s="4">
        <f t="shared" si="9"/>
        <v>217.36666666666665</v>
      </c>
      <c r="F199" s="4">
        <f t="shared" si="10"/>
        <v>24.266666666666669</v>
      </c>
      <c r="G199" s="4">
        <f t="shared" si="11"/>
        <v>8.9574175824175821</v>
      </c>
      <c r="H199" s="4"/>
      <c r="I199" s="4"/>
    </row>
    <row r="200" spans="1:9" x14ac:dyDescent="0.2">
      <c r="A200">
        <v>507157</v>
      </c>
      <c r="B200" s="9">
        <v>0.3</v>
      </c>
      <c r="C200" s="4">
        <v>127</v>
      </c>
      <c r="D200" s="4">
        <v>21.83</v>
      </c>
      <c r="E200" s="4">
        <f t="shared" si="9"/>
        <v>423.33333333333337</v>
      </c>
      <c r="F200" s="4">
        <f t="shared" si="10"/>
        <v>72.766666666666666</v>
      </c>
      <c r="G200" s="4">
        <f t="shared" si="11"/>
        <v>5.8176820888685299</v>
      </c>
      <c r="H200" s="4"/>
      <c r="I200" s="4"/>
    </row>
    <row r="201" spans="1:9" x14ac:dyDescent="0.2">
      <c r="A201">
        <v>507157</v>
      </c>
      <c r="B201" s="9">
        <v>0.3</v>
      </c>
      <c r="C201" s="4">
        <v>123.2</v>
      </c>
      <c r="D201" s="4">
        <v>22.37</v>
      </c>
      <c r="E201" s="4">
        <f t="shared" si="9"/>
        <v>410.66666666666669</v>
      </c>
      <c r="F201" s="4">
        <f t="shared" si="10"/>
        <v>74.566666666666677</v>
      </c>
      <c r="G201" s="4">
        <f t="shared" si="11"/>
        <v>5.5073759499329462</v>
      </c>
      <c r="H201" s="4"/>
      <c r="I201" s="4"/>
    </row>
    <row r="202" spans="1:9" x14ac:dyDescent="0.2">
      <c r="A202">
        <v>507160</v>
      </c>
      <c r="B202" s="9">
        <v>0.3</v>
      </c>
      <c r="C202" s="4">
        <v>48.21</v>
      </c>
      <c r="D202" s="4">
        <v>4.26</v>
      </c>
      <c r="E202" s="4">
        <f t="shared" si="9"/>
        <v>160.70000000000002</v>
      </c>
      <c r="F202" s="4">
        <f t="shared" si="10"/>
        <v>14.2</v>
      </c>
      <c r="G202" s="4">
        <f t="shared" si="11"/>
        <v>11.316901408450706</v>
      </c>
      <c r="H202" s="4"/>
      <c r="I202" s="4"/>
    </row>
    <row r="203" spans="1:9" x14ac:dyDescent="0.2">
      <c r="A203">
        <v>507160</v>
      </c>
      <c r="B203" s="9">
        <v>0.3</v>
      </c>
      <c r="C203" s="4">
        <v>55.27</v>
      </c>
      <c r="D203" s="4">
        <v>8.24</v>
      </c>
      <c r="E203" s="4">
        <f t="shared" si="9"/>
        <v>184.23333333333335</v>
      </c>
      <c r="F203" s="4">
        <f t="shared" si="10"/>
        <v>27.466666666666669</v>
      </c>
      <c r="G203" s="4">
        <f t="shared" si="11"/>
        <v>6.7075242718446608</v>
      </c>
      <c r="H203" s="4"/>
      <c r="I203" s="4"/>
    </row>
    <row r="204" spans="1:9" x14ac:dyDescent="0.2">
      <c r="A204">
        <v>507162</v>
      </c>
      <c r="B204" s="9">
        <v>0.3</v>
      </c>
      <c r="C204" s="4">
        <v>125</v>
      </c>
      <c r="D204" s="4">
        <v>24.16</v>
      </c>
      <c r="E204" s="4">
        <f t="shared" si="9"/>
        <v>416.66666666666669</v>
      </c>
      <c r="F204" s="4">
        <f t="shared" si="10"/>
        <v>80.533333333333331</v>
      </c>
      <c r="G204" s="4">
        <f t="shared" si="11"/>
        <v>5.1738410596026494</v>
      </c>
      <c r="H204" s="4"/>
      <c r="I204" s="4"/>
    </row>
    <row r="205" spans="1:9" x14ac:dyDescent="0.2">
      <c r="A205">
        <v>507162</v>
      </c>
      <c r="B205" s="9">
        <v>0.3</v>
      </c>
      <c r="C205" s="4">
        <v>131.6</v>
      </c>
      <c r="D205" s="4">
        <v>24.16</v>
      </c>
      <c r="E205" s="4">
        <f t="shared" si="9"/>
        <v>438.66666666666669</v>
      </c>
      <c r="F205" s="4">
        <f t="shared" si="10"/>
        <v>80.533333333333331</v>
      </c>
      <c r="G205" s="4">
        <f t="shared" si="11"/>
        <v>5.4470198675496686</v>
      </c>
      <c r="H205" s="4"/>
      <c r="I205" s="4"/>
    </row>
    <row r="206" spans="1:9" x14ac:dyDescent="0.2">
      <c r="A206">
        <v>507165</v>
      </c>
      <c r="B206" s="9">
        <v>0.3</v>
      </c>
      <c r="C206" s="4">
        <v>46.38</v>
      </c>
      <c r="D206" s="4">
        <v>7.69</v>
      </c>
      <c r="E206" s="4">
        <f t="shared" si="9"/>
        <v>154.60000000000002</v>
      </c>
      <c r="F206" s="4">
        <f t="shared" si="10"/>
        <v>25.633333333333336</v>
      </c>
      <c r="G206" s="4">
        <f t="shared" si="11"/>
        <v>6.031209362808843</v>
      </c>
      <c r="H206" s="4"/>
      <c r="I206" s="4"/>
    </row>
    <row r="207" spans="1:9" x14ac:dyDescent="0.2">
      <c r="A207">
        <v>507165</v>
      </c>
      <c r="B207" s="9">
        <v>0.3</v>
      </c>
      <c r="C207" s="4">
        <v>44.45</v>
      </c>
      <c r="D207" s="4">
        <v>7</v>
      </c>
      <c r="E207" s="4">
        <f t="shared" si="9"/>
        <v>148.16666666666669</v>
      </c>
      <c r="F207" s="4">
        <f t="shared" si="10"/>
        <v>23.333333333333336</v>
      </c>
      <c r="G207" s="4">
        <f t="shared" si="11"/>
        <v>6.3500000000000005</v>
      </c>
      <c r="H207" s="4"/>
      <c r="I207" s="4"/>
    </row>
    <row r="208" spans="1:9" x14ac:dyDescent="0.2">
      <c r="A208">
        <v>507167</v>
      </c>
      <c r="B208" s="9">
        <v>0.3</v>
      </c>
      <c r="C208" s="4">
        <v>72.739999999999995</v>
      </c>
      <c r="D208" s="4">
        <v>13.45</v>
      </c>
      <c r="E208" s="4">
        <f t="shared" si="9"/>
        <v>242.46666666666667</v>
      </c>
      <c r="F208" s="4">
        <f t="shared" si="10"/>
        <v>44.833333333333336</v>
      </c>
      <c r="G208" s="4">
        <f t="shared" si="11"/>
        <v>5.40817843866171</v>
      </c>
      <c r="H208" s="4"/>
      <c r="I208" s="4"/>
    </row>
    <row r="209" spans="1:9" x14ac:dyDescent="0.2">
      <c r="A209">
        <v>507167</v>
      </c>
      <c r="B209" s="9">
        <v>0.3</v>
      </c>
      <c r="C209" s="4">
        <v>67.56</v>
      </c>
      <c r="D209" s="4">
        <v>12.63</v>
      </c>
      <c r="E209" s="4">
        <f t="shared" si="9"/>
        <v>225.20000000000002</v>
      </c>
      <c r="F209" s="4">
        <f t="shared" si="10"/>
        <v>42.1</v>
      </c>
      <c r="G209" s="4">
        <f t="shared" si="11"/>
        <v>5.3491686460807601</v>
      </c>
      <c r="H209" s="4"/>
      <c r="I209" s="4"/>
    </row>
  </sheetData>
  <phoneticPr fontId="5" type="noConversion"/>
  <pageMargins left="0.75" right="0.75" top="1" bottom="1" header="0.5" footer="0.5"/>
  <pageSetup orientation="portrait" r:id="rId1"/>
  <headerFooter alignWithMargins="0">
    <oddHeader>&amp;R&amp;"Calibri"&amp;12&amp;K000000 Unclassified - Non-Classifié&amp;1#_x000D_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BD105"/>
  <sheetViews>
    <sheetView workbookViewId="0">
      <selection activeCell="B8" sqref="B8:D73"/>
    </sheetView>
  </sheetViews>
  <sheetFormatPr defaultRowHeight="12.75" x14ac:dyDescent="0.2"/>
  <sheetData>
    <row r="1" spans="2:56" x14ac:dyDescent="0.2">
      <c r="AY1" s="4"/>
    </row>
    <row r="2" spans="2:56" x14ac:dyDescent="0.2">
      <c r="AY2" s="4"/>
    </row>
    <row r="3" spans="2:56" x14ac:dyDescent="0.2">
      <c r="AY3" s="4"/>
      <c r="AZ3" s="3"/>
      <c r="BA3" s="3"/>
      <c r="BB3" s="3"/>
      <c r="BC3" s="3"/>
      <c r="BD3" s="3"/>
    </row>
    <row r="4" spans="2:56" x14ac:dyDescent="0.2">
      <c r="AY4" s="4"/>
      <c r="AZ4" s="3"/>
      <c r="BA4" s="3"/>
      <c r="BB4" s="3"/>
      <c r="BC4" s="3"/>
      <c r="BD4" s="3"/>
    </row>
    <row r="5" spans="2:56" x14ac:dyDescent="0.2">
      <c r="AY5" s="4"/>
      <c r="AZ5" s="3"/>
      <c r="BA5" s="3"/>
      <c r="BB5" s="3"/>
      <c r="BC5" s="3"/>
      <c r="BD5" s="3"/>
    </row>
    <row r="6" spans="2:56" x14ac:dyDescent="0.2">
      <c r="AY6" s="4"/>
      <c r="AZ6" s="3"/>
      <c r="BA6" s="3"/>
      <c r="BB6" s="3"/>
      <c r="BC6" s="3"/>
      <c r="BD6" s="3"/>
    </row>
    <row r="7" spans="2:56" x14ac:dyDescent="0.2">
      <c r="B7" s="6"/>
      <c r="C7" s="6"/>
      <c r="D7" s="6"/>
      <c r="AY7" s="4"/>
      <c r="AZ7" s="3"/>
      <c r="BA7" s="3"/>
      <c r="BB7" s="3"/>
      <c r="BC7" s="3"/>
      <c r="BD7" s="3"/>
    </row>
    <row r="8" spans="2:56" x14ac:dyDescent="0.2">
      <c r="B8" s="6">
        <v>511790</v>
      </c>
      <c r="C8" s="6">
        <v>1</v>
      </c>
      <c r="D8" s="6">
        <v>0.75</v>
      </c>
      <c r="AY8" s="4"/>
      <c r="AZ8" s="3"/>
      <c r="BA8" s="3"/>
      <c r="BB8" s="3"/>
      <c r="BC8" s="3"/>
      <c r="BD8" s="3"/>
    </row>
    <row r="9" spans="2:56" x14ac:dyDescent="0.2">
      <c r="B9" s="6">
        <v>511812</v>
      </c>
      <c r="C9" s="6">
        <v>1</v>
      </c>
      <c r="D9" s="6">
        <v>1</v>
      </c>
      <c r="AY9" s="4"/>
      <c r="AZ9" s="3"/>
      <c r="BA9" s="3"/>
      <c r="BB9" s="3"/>
      <c r="BC9" s="3"/>
      <c r="BD9" s="3"/>
    </row>
    <row r="10" spans="2:56" x14ac:dyDescent="0.2">
      <c r="B10" s="6">
        <v>511836</v>
      </c>
      <c r="C10" s="6">
        <v>1</v>
      </c>
      <c r="D10" s="6">
        <v>1</v>
      </c>
      <c r="AY10" s="4"/>
      <c r="AZ10" s="3"/>
      <c r="BA10" s="3"/>
      <c r="BB10" s="3"/>
      <c r="BC10" s="3"/>
      <c r="BD10" s="3"/>
    </row>
    <row r="11" spans="2:56" x14ac:dyDescent="0.2">
      <c r="B11" s="6">
        <v>511853</v>
      </c>
      <c r="C11" s="6">
        <v>1</v>
      </c>
      <c r="D11" s="6">
        <v>0.5</v>
      </c>
      <c r="AY11" s="4"/>
      <c r="AZ11" s="3"/>
      <c r="BA11" s="3"/>
      <c r="BB11" s="3"/>
      <c r="BC11" s="3"/>
      <c r="BD11" s="3"/>
    </row>
    <row r="12" spans="2:56" x14ac:dyDescent="0.2">
      <c r="B12" s="6">
        <v>511872</v>
      </c>
      <c r="C12" s="6">
        <v>1</v>
      </c>
      <c r="D12" s="6">
        <v>0.5</v>
      </c>
      <c r="AY12" s="4"/>
      <c r="AZ12" s="3"/>
      <c r="BA12" s="3"/>
      <c r="BB12" s="3"/>
      <c r="BC12" s="3"/>
      <c r="BD12" s="3"/>
    </row>
    <row r="13" spans="2:56" x14ac:dyDescent="0.2">
      <c r="B13" s="6">
        <v>511886</v>
      </c>
      <c r="C13" s="6">
        <v>1</v>
      </c>
      <c r="D13" s="6">
        <v>0.5</v>
      </c>
      <c r="AY13" s="4"/>
      <c r="AZ13" s="3"/>
      <c r="BA13" s="3"/>
      <c r="BB13" s="3"/>
      <c r="BC13" s="3"/>
      <c r="BD13" s="3"/>
    </row>
    <row r="14" spans="2:56" x14ac:dyDescent="0.2">
      <c r="B14" s="6">
        <v>511901</v>
      </c>
      <c r="C14" s="6">
        <v>1</v>
      </c>
      <c r="D14" s="6">
        <v>0.5</v>
      </c>
      <c r="AY14" s="4"/>
      <c r="AZ14" s="3"/>
      <c r="BA14" s="3"/>
      <c r="BB14" s="3"/>
      <c r="BC14" s="3"/>
      <c r="BD14" s="3"/>
    </row>
    <row r="15" spans="2:56" x14ac:dyDescent="0.2">
      <c r="B15" s="6">
        <v>511920</v>
      </c>
      <c r="C15" s="6">
        <v>1</v>
      </c>
      <c r="D15" s="6">
        <v>0.75</v>
      </c>
      <c r="AY15" s="4"/>
      <c r="AZ15" s="3"/>
      <c r="BA15" s="3"/>
      <c r="BB15" s="3"/>
      <c r="BC15" s="3"/>
      <c r="BD15" s="3"/>
    </row>
    <row r="16" spans="2:56" x14ac:dyDescent="0.2">
      <c r="B16" s="6">
        <v>511935</v>
      </c>
      <c r="C16" s="6">
        <v>1</v>
      </c>
      <c r="D16" s="6">
        <v>0.5</v>
      </c>
      <c r="AY16" s="4"/>
      <c r="AZ16" s="3"/>
      <c r="BA16" s="3"/>
      <c r="BB16" s="3"/>
      <c r="BC16" s="3"/>
      <c r="BD16" s="3"/>
    </row>
    <row r="17" spans="2:56" x14ac:dyDescent="0.2">
      <c r="B17" s="6">
        <v>511955</v>
      </c>
      <c r="C17" s="6">
        <v>1</v>
      </c>
      <c r="D17" s="6">
        <v>0.5</v>
      </c>
      <c r="AY17" s="4"/>
      <c r="AZ17" s="3"/>
      <c r="BA17" s="3"/>
      <c r="BB17" s="3"/>
      <c r="BC17" s="3"/>
      <c r="BD17" s="3"/>
    </row>
    <row r="18" spans="2:56" x14ac:dyDescent="0.2">
      <c r="B18" s="6">
        <v>511971</v>
      </c>
      <c r="C18" s="6">
        <v>1</v>
      </c>
      <c r="D18" s="6">
        <v>0.5</v>
      </c>
      <c r="AY18" s="4"/>
      <c r="AZ18" s="3"/>
      <c r="BA18" s="3"/>
      <c r="BB18" s="3"/>
      <c r="BC18" s="3"/>
      <c r="BD18" s="3"/>
    </row>
    <row r="19" spans="2:56" x14ac:dyDescent="0.2">
      <c r="B19" s="6">
        <v>511991</v>
      </c>
      <c r="C19" s="6">
        <v>1</v>
      </c>
      <c r="D19" s="6">
        <v>0.5</v>
      </c>
      <c r="AY19" s="4"/>
      <c r="AZ19" s="3"/>
      <c r="BA19" s="3"/>
      <c r="BB19" s="3"/>
      <c r="BC19" s="3"/>
      <c r="BD19" s="3"/>
    </row>
    <row r="20" spans="2:56" x14ac:dyDescent="0.2">
      <c r="B20" s="6">
        <v>512006</v>
      </c>
      <c r="C20" s="6">
        <v>1</v>
      </c>
      <c r="D20" s="6">
        <v>0.5</v>
      </c>
      <c r="AY20" s="4"/>
      <c r="AZ20" s="3"/>
      <c r="BA20" s="3"/>
      <c r="BB20" s="3"/>
      <c r="BC20" s="3"/>
      <c r="BD20" s="3"/>
    </row>
    <row r="21" spans="2:56" x14ac:dyDescent="0.2">
      <c r="B21" s="6">
        <v>512025</v>
      </c>
      <c r="C21" s="6">
        <v>1</v>
      </c>
      <c r="D21" s="6">
        <v>0.5</v>
      </c>
      <c r="AY21" s="4"/>
      <c r="AZ21" s="3"/>
      <c r="BA21" s="3"/>
      <c r="BB21" s="3"/>
      <c r="BC21" s="3"/>
      <c r="BD21" s="3"/>
    </row>
    <row r="22" spans="2:56" x14ac:dyDescent="0.2">
      <c r="B22" s="6">
        <v>512040</v>
      </c>
      <c r="C22" s="6">
        <v>1</v>
      </c>
      <c r="D22" s="6">
        <v>0.5</v>
      </c>
      <c r="AY22" s="4"/>
      <c r="AZ22" s="3"/>
      <c r="BA22" s="3"/>
      <c r="BB22" s="3"/>
      <c r="BC22" s="3"/>
      <c r="BD22" s="3"/>
    </row>
    <row r="23" spans="2:56" x14ac:dyDescent="0.2">
      <c r="B23" s="6">
        <v>512051</v>
      </c>
      <c r="C23" s="6">
        <v>1</v>
      </c>
      <c r="D23" s="6">
        <v>0.5</v>
      </c>
      <c r="AY23" s="4"/>
      <c r="AZ23" s="3"/>
      <c r="BA23" s="3"/>
      <c r="BB23" s="3"/>
      <c r="BC23" s="3"/>
      <c r="BD23" s="3"/>
    </row>
    <row r="24" spans="2:56" x14ac:dyDescent="0.2">
      <c r="B24" s="6">
        <v>512069</v>
      </c>
      <c r="C24" s="6">
        <v>1</v>
      </c>
      <c r="D24" s="6">
        <v>0.5</v>
      </c>
      <c r="AY24" s="4"/>
      <c r="AZ24" s="3"/>
      <c r="BA24" s="3"/>
      <c r="BB24" s="3"/>
      <c r="BC24" s="3"/>
      <c r="BD24" s="3"/>
    </row>
    <row r="25" spans="2:56" x14ac:dyDescent="0.2">
      <c r="B25" s="6">
        <v>512084</v>
      </c>
      <c r="C25" s="6">
        <v>1</v>
      </c>
      <c r="D25" s="6">
        <v>0.5</v>
      </c>
      <c r="AY25" s="4"/>
      <c r="AZ25" s="3"/>
      <c r="BA25" s="3"/>
      <c r="BB25" s="3"/>
      <c r="BC25" s="3"/>
      <c r="BD25" s="3"/>
    </row>
    <row r="26" spans="2:56" x14ac:dyDescent="0.2">
      <c r="B26" s="6">
        <v>512097</v>
      </c>
      <c r="C26" s="6">
        <v>1</v>
      </c>
      <c r="D26" s="6">
        <v>0.5</v>
      </c>
      <c r="AY26" s="4"/>
      <c r="AZ26" s="3"/>
      <c r="BA26" s="3"/>
      <c r="BB26" s="3"/>
      <c r="BC26" s="3"/>
      <c r="BD26" s="3"/>
    </row>
    <row r="27" spans="2:56" x14ac:dyDescent="0.2">
      <c r="B27" s="6">
        <v>512117</v>
      </c>
      <c r="C27" s="6">
        <v>1</v>
      </c>
      <c r="D27" s="6">
        <v>0.5</v>
      </c>
      <c r="AY27" s="4"/>
      <c r="AZ27" s="3"/>
      <c r="BA27" s="3"/>
      <c r="BB27" s="3"/>
      <c r="BC27" s="3"/>
      <c r="BD27" s="3"/>
    </row>
    <row r="28" spans="2:56" x14ac:dyDescent="0.2">
      <c r="B28" s="6">
        <v>512133</v>
      </c>
      <c r="C28" s="6">
        <v>1</v>
      </c>
      <c r="D28" s="6">
        <v>0.5</v>
      </c>
      <c r="AY28" s="4"/>
      <c r="AZ28" s="3"/>
      <c r="BA28" s="3"/>
      <c r="BB28" s="3"/>
      <c r="BC28" s="3"/>
      <c r="BD28" s="3"/>
    </row>
    <row r="29" spans="2:56" x14ac:dyDescent="0.2">
      <c r="B29" s="6">
        <v>512153</v>
      </c>
      <c r="C29" s="6">
        <v>1</v>
      </c>
      <c r="D29" s="6">
        <v>0.5</v>
      </c>
      <c r="AY29" s="4"/>
      <c r="AZ29" s="3"/>
      <c r="BA29" s="3"/>
      <c r="BB29" s="3"/>
      <c r="BC29" s="3"/>
      <c r="BD29" s="3"/>
    </row>
    <row r="30" spans="2:56" x14ac:dyDescent="0.2">
      <c r="B30" s="6">
        <v>512170</v>
      </c>
      <c r="C30" s="6">
        <v>1</v>
      </c>
      <c r="D30" s="6">
        <v>0.5</v>
      </c>
      <c r="AY30" s="4"/>
      <c r="AZ30" s="3"/>
      <c r="BA30" s="3"/>
      <c r="BB30" s="3"/>
      <c r="BC30" s="3"/>
      <c r="BD30" s="3"/>
    </row>
    <row r="31" spans="2:56" x14ac:dyDescent="0.2">
      <c r="B31" s="6">
        <v>512193</v>
      </c>
      <c r="C31" s="6">
        <v>1</v>
      </c>
      <c r="D31" s="6">
        <v>0.5</v>
      </c>
      <c r="AY31" s="4"/>
      <c r="AZ31" s="3"/>
      <c r="BA31" s="3"/>
      <c r="BB31" s="3"/>
      <c r="BC31" s="3"/>
      <c r="BD31" s="3"/>
    </row>
    <row r="32" spans="2:56" x14ac:dyDescent="0.2">
      <c r="B32" s="6">
        <v>512210</v>
      </c>
      <c r="C32" s="6">
        <v>1</v>
      </c>
      <c r="D32" s="6">
        <v>0.5</v>
      </c>
      <c r="AY32" s="4"/>
      <c r="AZ32" s="3"/>
      <c r="BA32" s="3"/>
      <c r="BB32" s="3"/>
      <c r="BC32" s="3"/>
      <c r="BD32" s="3"/>
    </row>
    <row r="33" spans="2:56" x14ac:dyDescent="0.2">
      <c r="B33" s="6">
        <v>512233</v>
      </c>
      <c r="C33" s="6">
        <v>1</v>
      </c>
      <c r="D33" s="6">
        <v>0.5</v>
      </c>
      <c r="AY33" s="4"/>
      <c r="AZ33" s="3"/>
      <c r="BA33" s="3"/>
      <c r="BB33" s="3"/>
      <c r="BC33" s="3"/>
      <c r="BD33" s="3"/>
    </row>
    <row r="34" spans="2:56" x14ac:dyDescent="0.2">
      <c r="B34" s="6">
        <v>512253</v>
      </c>
      <c r="C34" s="6">
        <v>1</v>
      </c>
      <c r="D34" s="6">
        <v>0.5</v>
      </c>
      <c r="AY34" s="4"/>
      <c r="AZ34" s="3"/>
      <c r="BA34" s="3"/>
      <c r="BB34" s="3"/>
      <c r="BC34" s="3"/>
      <c r="BD34" s="3"/>
    </row>
    <row r="35" spans="2:56" x14ac:dyDescent="0.2">
      <c r="B35" s="6">
        <v>512282</v>
      </c>
      <c r="C35" s="6">
        <v>1</v>
      </c>
      <c r="D35" s="6">
        <v>0.5</v>
      </c>
      <c r="AY35" s="4"/>
      <c r="AZ35" s="3"/>
      <c r="BA35" s="3"/>
      <c r="BB35" s="3"/>
      <c r="BC35" s="3"/>
      <c r="BD35" s="3"/>
    </row>
    <row r="36" spans="2:56" x14ac:dyDescent="0.2">
      <c r="B36" s="6">
        <v>512319</v>
      </c>
      <c r="C36" s="6">
        <v>1</v>
      </c>
      <c r="D36" s="6">
        <v>0.5</v>
      </c>
      <c r="AY36" s="4"/>
      <c r="AZ36" s="3"/>
      <c r="BA36" s="3"/>
      <c r="BB36" s="3"/>
      <c r="BC36" s="3"/>
      <c r="BD36" s="3"/>
    </row>
    <row r="37" spans="2:56" x14ac:dyDescent="0.2">
      <c r="B37" s="6">
        <v>512360</v>
      </c>
      <c r="C37" s="6">
        <v>1</v>
      </c>
      <c r="D37" s="6">
        <v>0.5</v>
      </c>
      <c r="AY37" s="4"/>
      <c r="AZ37" s="3"/>
      <c r="BA37" s="3"/>
      <c r="BB37" s="3"/>
      <c r="BC37" s="3"/>
      <c r="BD37" s="3"/>
    </row>
    <row r="38" spans="2:56" x14ac:dyDescent="0.2">
      <c r="B38" s="6">
        <v>512417</v>
      </c>
      <c r="C38" s="6">
        <v>1</v>
      </c>
      <c r="D38" s="6">
        <v>0.5</v>
      </c>
      <c r="AY38" s="4"/>
      <c r="AZ38" s="3"/>
      <c r="BA38" s="3"/>
      <c r="BB38" s="3"/>
      <c r="BC38" s="3"/>
      <c r="BD38" s="3"/>
    </row>
    <row r="39" spans="2:56" x14ac:dyDescent="0.2">
      <c r="B39" s="6">
        <v>512452</v>
      </c>
      <c r="C39" s="6">
        <v>1</v>
      </c>
      <c r="D39" s="6">
        <v>0.5</v>
      </c>
      <c r="AY39" s="4"/>
      <c r="AZ39" s="3"/>
      <c r="BA39" s="3"/>
      <c r="BB39" s="3"/>
      <c r="BC39" s="3"/>
      <c r="BD39" s="3"/>
    </row>
    <row r="40" spans="2:56" x14ac:dyDescent="0.2">
      <c r="B40" s="6">
        <v>512473</v>
      </c>
      <c r="C40" s="6">
        <v>1</v>
      </c>
      <c r="D40" s="6">
        <v>0.5</v>
      </c>
      <c r="AY40" s="4"/>
      <c r="AZ40" s="3"/>
      <c r="BA40" s="3"/>
      <c r="BB40" s="3"/>
      <c r="BC40" s="3"/>
      <c r="BD40" s="3"/>
    </row>
    <row r="41" spans="2:56" x14ac:dyDescent="0.2">
      <c r="B41" s="6">
        <v>512490</v>
      </c>
      <c r="C41" s="6">
        <v>1</v>
      </c>
      <c r="D41" s="6">
        <v>1</v>
      </c>
      <c r="AY41" s="4"/>
      <c r="AZ41" s="3"/>
      <c r="BA41" s="3"/>
      <c r="BB41" s="3"/>
      <c r="BC41" s="3"/>
      <c r="BD41" s="3"/>
    </row>
    <row r="42" spans="2:56" x14ac:dyDescent="0.2">
      <c r="B42" s="6">
        <v>512503</v>
      </c>
      <c r="C42" s="6">
        <v>1</v>
      </c>
      <c r="D42" s="6">
        <v>0.75</v>
      </c>
      <c r="AY42" s="4"/>
      <c r="AZ42" s="3"/>
      <c r="BA42" s="3"/>
      <c r="BB42" s="3"/>
      <c r="BC42" s="3"/>
      <c r="BD42" s="3"/>
    </row>
    <row r="43" spans="2:56" x14ac:dyDescent="0.2">
      <c r="B43" s="6">
        <v>512527</v>
      </c>
      <c r="C43" s="6">
        <v>1</v>
      </c>
      <c r="D43" s="6">
        <v>0.75</v>
      </c>
      <c r="AY43" s="4"/>
      <c r="AZ43" s="3"/>
      <c r="BA43" s="3"/>
      <c r="BB43" s="3"/>
      <c r="BC43" s="3"/>
      <c r="BD43" s="3"/>
    </row>
    <row r="44" spans="2:56" x14ac:dyDescent="0.2">
      <c r="B44" s="6">
        <v>512543</v>
      </c>
      <c r="C44" s="6">
        <v>1</v>
      </c>
      <c r="D44" s="6">
        <v>0.75</v>
      </c>
      <c r="AY44" s="4"/>
      <c r="AZ44" s="3"/>
      <c r="BA44" s="3"/>
      <c r="BB44" s="3"/>
      <c r="BC44" s="3"/>
      <c r="BD44" s="3"/>
    </row>
    <row r="45" spans="2:56" x14ac:dyDescent="0.2">
      <c r="B45" s="6">
        <v>512566</v>
      </c>
      <c r="C45" s="6">
        <v>1</v>
      </c>
      <c r="D45" s="6">
        <v>0.75</v>
      </c>
      <c r="AY45" s="4"/>
      <c r="AZ45" s="3"/>
      <c r="BA45" s="3"/>
      <c r="BB45" s="3"/>
      <c r="BC45" s="3"/>
      <c r="BD45" s="3"/>
    </row>
    <row r="46" spans="2:56" x14ac:dyDescent="0.2">
      <c r="B46" s="6">
        <v>512592</v>
      </c>
      <c r="C46" s="6">
        <v>1</v>
      </c>
      <c r="D46" s="6">
        <v>0.75</v>
      </c>
      <c r="AY46" s="4"/>
      <c r="AZ46" s="3"/>
      <c r="BA46" s="3"/>
      <c r="BB46" s="3"/>
      <c r="BC46" s="3"/>
      <c r="BD46" s="3"/>
    </row>
    <row r="47" spans="2:56" x14ac:dyDescent="0.2">
      <c r="B47" s="6">
        <v>512612</v>
      </c>
      <c r="C47" s="6">
        <v>1</v>
      </c>
      <c r="D47" s="6">
        <v>0.75</v>
      </c>
      <c r="AY47" s="4"/>
      <c r="AZ47" s="3"/>
      <c r="BA47" s="3"/>
      <c r="BB47" s="3"/>
      <c r="BC47" s="3"/>
      <c r="BD47" s="3"/>
    </row>
    <row r="48" spans="2:56" x14ac:dyDescent="0.2">
      <c r="B48" s="6">
        <v>512634</v>
      </c>
      <c r="C48" s="6">
        <v>1</v>
      </c>
      <c r="D48" s="6">
        <v>0.75</v>
      </c>
      <c r="AY48" s="4"/>
      <c r="AZ48" s="3"/>
      <c r="BA48" s="3"/>
      <c r="BB48" s="3"/>
      <c r="BC48" s="3"/>
      <c r="BD48" s="3"/>
    </row>
    <row r="49" spans="2:56" x14ac:dyDescent="0.2">
      <c r="B49" s="6">
        <v>512658</v>
      </c>
      <c r="C49" s="6">
        <v>1</v>
      </c>
      <c r="D49" s="6">
        <v>0.75</v>
      </c>
      <c r="AY49" s="4"/>
      <c r="AZ49" s="3"/>
      <c r="BA49" s="3"/>
      <c r="BB49" s="3"/>
      <c r="BC49" s="3"/>
      <c r="BD49" s="3"/>
    </row>
    <row r="50" spans="2:56" x14ac:dyDescent="0.2">
      <c r="B50" s="6">
        <v>512677</v>
      </c>
      <c r="C50" s="6">
        <v>1</v>
      </c>
      <c r="D50" s="6">
        <v>0.75</v>
      </c>
      <c r="AY50" s="4"/>
      <c r="AZ50" s="3"/>
      <c r="BA50" s="3"/>
      <c r="BB50" s="3"/>
      <c r="BC50" s="3"/>
      <c r="BD50" s="3"/>
    </row>
    <row r="51" spans="2:56" x14ac:dyDescent="0.2">
      <c r="B51" s="6">
        <v>512696</v>
      </c>
      <c r="C51" s="6">
        <v>1</v>
      </c>
      <c r="D51" s="6">
        <v>0.75</v>
      </c>
    </row>
    <row r="52" spans="2:56" x14ac:dyDescent="0.2">
      <c r="B52" s="6">
        <v>512718</v>
      </c>
      <c r="C52" s="6">
        <v>1</v>
      </c>
      <c r="D52" s="6">
        <v>0.5</v>
      </c>
    </row>
    <row r="53" spans="2:56" x14ac:dyDescent="0.2">
      <c r="B53" s="6">
        <v>512743</v>
      </c>
      <c r="C53" s="6">
        <v>1</v>
      </c>
      <c r="D53" s="6">
        <v>0.75</v>
      </c>
    </row>
    <row r="54" spans="2:56" x14ac:dyDescent="0.2">
      <c r="B54" s="6">
        <v>512768</v>
      </c>
      <c r="C54" s="6">
        <v>1</v>
      </c>
      <c r="D54" s="6">
        <v>0.75</v>
      </c>
    </row>
    <row r="55" spans="2:56" x14ac:dyDescent="0.2">
      <c r="B55" s="6">
        <v>512792</v>
      </c>
      <c r="C55" s="6">
        <v>1</v>
      </c>
      <c r="D55" s="6">
        <v>0.5</v>
      </c>
    </row>
    <row r="56" spans="2:56" x14ac:dyDescent="0.2">
      <c r="B56" s="6">
        <v>512804</v>
      </c>
      <c r="C56" s="6">
        <v>1</v>
      </c>
      <c r="D56" s="6">
        <v>0.75</v>
      </c>
    </row>
    <row r="57" spans="2:56" x14ac:dyDescent="0.2">
      <c r="B57" s="6">
        <v>512817</v>
      </c>
      <c r="C57" s="6">
        <v>1</v>
      </c>
      <c r="D57" s="6">
        <v>0.5</v>
      </c>
    </row>
    <row r="58" spans="2:56" x14ac:dyDescent="0.2">
      <c r="B58" s="6">
        <v>512835</v>
      </c>
      <c r="C58" s="6">
        <v>1</v>
      </c>
      <c r="D58" s="6">
        <v>0.5</v>
      </c>
    </row>
    <row r="59" spans="2:56" x14ac:dyDescent="0.2">
      <c r="B59" s="6">
        <v>512850</v>
      </c>
      <c r="C59" s="6">
        <v>1</v>
      </c>
      <c r="D59" s="6">
        <v>0.5</v>
      </c>
    </row>
    <row r="60" spans="2:56" x14ac:dyDescent="0.2">
      <c r="B60" s="6">
        <v>512863</v>
      </c>
      <c r="C60" s="6">
        <v>1</v>
      </c>
      <c r="D60" s="6">
        <v>0.5</v>
      </c>
    </row>
    <row r="61" spans="2:56" x14ac:dyDescent="0.2">
      <c r="B61" s="6">
        <v>512881</v>
      </c>
      <c r="C61" s="6">
        <v>1</v>
      </c>
      <c r="D61" s="6">
        <v>0.75</v>
      </c>
    </row>
    <row r="62" spans="2:56" x14ac:dyDescent="0.2">
      <c r="B62" s="6">
        <v>512900</v>
      </c>
      <c r="C62" s="6">
        <v>1</v>
      </c>
      <c r="D62" s="6">
        <v>0.5</v>
      </c>
    </row>
    <row r="63" spans="2:56" x14ac:dyDescent="0.2">
      <c r="B63" s="6">
        <v>512916</v>
      </c>
      <c r="C63" s="6">
        <v>1</v>
      </c>
      <c r="D63" s="6">
        <v>0.5</v>
      </c>
    </row>
    <row r="64" spans="2:56" x14ac:dyDescent="0.2">
      <c r="B64" s="6">
        <v>512932</v>
      </c>
      <c r="C64" s="6">
        <v>1</v>
      </c>
      <c r="D64" s="6">
        <v>0.5</v>
      </c>
    </row>
    <row r="65" spans="2:4" x14ac:dyDescent="0.2">
      <c r="B65" s="6">
        <v>512956</v>
      </c>
      <c r="C65" s="6">
        <v>1</v>
      </c>
      <c r="D65" s="6">
        <v>0.5</v>
      </c>
    </row>
    <row r="66" spans="2:4" x14ac:dyDescent="0.2">
      <c r="B66" s="6">
        <v>512974</v>
      </c>
      <c r="C66" s="6">
        <v>1</v>
      </c>
      <c r="D66" s="6">
        <v>0.5</v>
      </c>
    </row>
    <row r="67" spans="2:4" x14ac:dyDescent="0.2">
      <c r="B67" s="6">
        <v>512995</v>
      </c>
      <c r="C67" s="6">
        <v>1</v>
      </c>
      <c r="D67" s="6">
        <v>0.5</v>
      </c>
    </row>
    <row r="68" spans="2:4" x14ac:dyDescent="0.2">
      <c r="B68" s="6">
        <v>513020</v>
      </c>
      <c r="C68" s="6">
        <v>1</v>
      </c>
      <c r="D68" s="6">
        <v>0.5</v>
      </c>
    </row>
    <row r="69" spans="2:4" x14ac:dyDescent="0.2">
      <c r="B69" s="6">
        <v>513045</v>
      </c>
      <c r="C69" s="6">
        <v>1</v>
      </c>
      <c r="D69" s="6">
        <v>0.5</v>
      </c>
    </row>
    <row r="70" spans="2:4" x14ac:dyDescent="0.2">
      <c r="B70" s="6">
        <v>513063</v>
      </c>
      <c r="C70" s="6">
        <v>1</v>
      </c>
      <c r="D70" s="6">
        <v>0.5</v>
      </c>
    </row>
    <row r="71" spans="2:4" x14ac:dyDescent="0.2">
      <c r="B71" s="6">
        <v>513082</v>
      </c>
      <c r="C71" s="6">
        <v>1</v>
      </c>
      <c r="D71" s="6">
        <v>0.75</v>
      </c>
    </row>
    <row r="72" spans="2:4" x14ac:dyDescent="0.2">
      <c r="B72" s="6">
        <v>513098</v>
      </c>
      <c r="C72" s="6">
        <v>1</v>
      </c>
      <c r="D72" s="6">
        <v>0.5</v>
      </c>
    </row>
    <row r="73" spans="2:4" x14ac:dyDescent="0.2">
      <c r="B73" s="6">
        <v>513112</v>
      </c>
      <c r="C73" s="6">
        <v>1</v>
      </c>
      <c r="D73" s="6">
        <v>0.5</v>
      </c>
    </row>
    <row r="105" spans="51:51" x14ac:dyDescent="0.2">
      <c r="AY105" s="4"/>
    </row>
  </sheetData>
  <phoneticPr fontId="5" type="noConversion"/>
  <pageMargins left="0.75" right="0.75" top="1" bottom="1" header="0.5" footer="0.5"/>
  <headerFooter alignWithMargins="0">
    <oddHeader>&amp;R&amp;"Calibri"&amp;12&amp;K000000 Unclassified - Non-Classifié&amp;1#_x000D_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W4:AZ69"/>
  <sheetViews>
    <sheetView topLeftCell="AW28" workbookViewId="0">
      <selection activeCell="AZ36" sqref="AZ36"/>
    </sheetView>
  </sheetViews>
  <sheetFormatPr defaultRowHeight="12.75" x14ac:dyDescent="0.2"/>
  <sheetData>
    <row r="4" spans="49:52" x14ac:dyDescent="0.2">
      <c r="AW4">
        <v>511790</v>
      </c>
      <c r="AX4" s="6">
        <v>511790</v>
      </c>
      <c r="AY4" s="6">
        <v>1</v>
      </c>
      <c r="AZ4" s="6">
        <v>0.75</v>
      </c>
    </row>
    <row r="5" spans="49:52" x14ac:dyDescent="0.2">
      <c r="AW5">
        <v>511812</v>
      </c>
      <c r="AX5" s="6">
        <v>511812</v>
      </c>
      <c r="AY5" s="6">
        <v>1</v>
      </c>
      <c r="AZ5" s="6">
        <v>1</v>
      </c>
    </row>
    <row r="6" spans="49:52" x14ac:dyDescent="0.2">
      <c r="AW6">
        <v>511836</v>
      </c>
      <c r="AX6" s="6">
        <v>511836</v>
      </c>
      <c r="AY6" s="6">
        <v>1</v>
      </c>
      <c r="AZ6" s="6">
        <v>1</v>
      </c>
    </row>
    <row r="7" spans="49:52" x14ac:dyDescent="0.2">
      <c r="AW7">
        <v>511853</v>
      </c>
      <c r="AX7" s="6">
        <v>511853</v>
      </c>
      <c r="AY7" s="6">
        <v>1</v>
      </c>
      <c r="AZ7" s="6">
        <v>0.5</v>
      </c>
    </row>
    <row r="8" spans="49:52" x14ac:dyDescent="0.2">
      <c r="AW8">
        <v>511872</v>
      </c>
      <c r="AX8" s="6">
        <v>511872</v>
      </c>
      <c r="AY8" s="6">
        <v>1</v>
      </c>
      <c r="AZ8" s="6">
        <v>0.5</v>
      </c>
    </row>
    <row r="9" spans="49:52" x14ac:dyDescent="0.2">
      <c r="AW9">
        <v>511886</v>
      </c>
      <c r="AX9" s="6">
        <v>511886</v>
      </c>
      <c r="AY9" s="6">
        <v>1</v>
      </c>
      <c r="AZ9" s="6">
        <v>0.5</v>
      </c>
    </row>
    <row r="10" spans="49:52" x14ac:dyDescent="0.2">
      <c r="AW10">
        <v>511901</v>
      </c>
      <c r="AX10" s="6">
        <v>511901</v>
      </c>
      <c r="AY10" s="6">
        <v>1</v>
      </c>
      <c r="AZ10" s="6">
        <v>0.5</v>
      </c>
    </row>
    <row r="11" spans="49:52" x14ac:dyDescent="0.2">
      <c r="AW11">
        <v>511920</v>
      </c>
      <c r="AX11" s="6">
        <v>511920</v>
      </c>
      <c r="AY11" s="6">
        <v>1</v>
      </c>
      <c r="AZ11" s="6">
        <v>0.75</v>
      </c>
    </row>
    <row r="12" spans="49:52" x14ac:dyDescent="0.2">
      <c r="AW12">
        <v>511935</v>
      </c>
      <c r="AX12" s="6">
        <v>511935</v>
      </c>
      <c r="AY12" s="6">
        <v>1</v>
      </c>
      <c r="AZ12" s="6">
        <v>0.5</v>
      </c>
    </row>
    <row r="13" spans="49:52" x14ac:dyDescent="0.2">
      <c r="AW13">
        <v>511955</v>
      </c>
      <c r="AX13" s="6">
        <v>511955</v>
      </c>
      <c r="AY13" s="6">
        <v>1</v>
      </c>
      <c r="AZ13" s="6">
        <v>0.5</v>
      </c>
    </row>
    <row r="14" spans="49:52" x14ac:dyDescent="0.2">
      <c r="AW14">
        <v>511971</v>
      </c>
      <c r="AX14" s="6">
        <v>511971</v>
      </c>
      <c r="AY14" s="6">
        <v>1</v>
      </c>
      <c r="AZ14" s="6">
        <v>0.5</v>
      </c>
    </row>
    <row r="15" spans="49:52" x14ac:dyDescent="0.2">
      <c r="AW15">
        <v>511991</v>
      </c>
      <c r="AX15" s="6">
        <v>511991</v>
      </c>
      <c r="AY15" s="6">
        <v>1</v>
      </c>
      <c r="AZ15" s="6">
        <v>0.5</v>
      </c>
    </row>
    <row r="16" spans="49:52" x14ac:dyDescent="0.2">
      <c r="AW16">
        <v>512006</v>
      </c>
      <c r="AX16" s="6">
        <v>512006</v>
      </c>
      <c r="AY16" s="6">
        <v>1</v>
      </c>
      <c r="AZ16" s="6">
        <v>0.5</v>
      </c>
    </row>
    <row r="17" spans="49:52" x14ac:dyDescent="0.2">
      <c r="AW17">
        <v>512025</v>
      </c>
      <c r="AX17" s="6">
        <v>512025</v>
      </c>
      <c r="AY17" s="6">
        <v>1</v>
      </c>
      <c r="AZ17" s="6">
        <v>0.5</v>
      </c>
    </row>
    <row r="18" spans="49:52" x14ac:dyDescent="0.2">
      <c r="AW18">
        <v>512040</v>
      </c>
      <c r="AX18" s="6">
        <v>512040</v>
      </c>
      <c r="AY18" s="6">
        <v>1</v>
      </c>
      <c r="AZ18" s="6">
        <v>0.5</v>
      </c>
    </row>
    <row r="19" spans="49:52" x14ac:dyDescent="0.2">
      <c r="AW19">
        <v>512051</v>
      </c>
      <c r="AX19" s="6">
        <v>512051</v>
      </c>
      <c r="AY19" s="6">
        <v>1</v>
      </c>
      <c r="AZ19" s="6">
        <v>0.5</v>
      </c>
    </row>
    <row r="20" spans="49:52" x14ac:dyDescent="0.2">
      <c r="AW20">
        <v>512069</v>
      </c>
      <c r="AX20" s="6">
        <v>512069</v>
      </c>
      <c r="AY20" s="6">
        <v>1</v>
      </c>
      <c r="AZ20" s="6">
        <v>0.5</v>
      </c>
    </row>
    <row r="21" spans="49:52" x14ac:dyDescent="0.2">
      <c r="AW21">
        <v>512084</v>
      </c>
      <c r="AX21" s="6">
        <v>512084</v>
      </c>
      <c r="AY21" s="6">
        <v>1</v>
      </c>
      <c r="AZ21" s="6">
        <v>0.5</v>
      </c>
    </row>
    <row r="22" spans="49:52" x14ac:dyDescent="0.2">
      <c r="AW22">
        <v>512097</v>
      </c>
      <c r="AX22" s="6">
        <v>512097</v>
      </c>
      <c r="AY22" s="6">
        <v>1</v>
      </c>
      <c r="AZ22" s="6">
        <v>0.5</v>
      </c>
    </row>
    <row r="23" spans="49:52" x14ac:dyDescent="0.2">
      <c r="AW23">
        <v>512117</v>
      </c>
      <c r="AX23" s="6">
        <v>512117</v>
      </c>
      <c r="AY23" s="6">
        <v>1</v>
      </c>
      <c r="AZ23" s="6">
        <v>0.5</v>
      </c>
    </row>
    <row r="24" spans="49:52" x14ac:dyDescent="0.2">
      <c r="AW24">
        <v>512133</v>
      </c>
      <c r="AX24" s="6">
        <v>512133</v>
      </c>
      <c r="AY24" s="6">
        <v>1</v>
      </c>
      <c r="AZ24" s="6">
        <v>0.5</v>
      </c>
    </row>
    <row r="25" spans="49:52" x14ac:dyDescent="0.2">
      <c r="AW25">
        <v>512153</v>
      </c>
      <c r="AX25" s="6">
        <v>512153</v>
      </c>
      <c r="AY25" s="6">
        <v>1</v>
      </c>
      <c r="AZ25" s="6">
        <v>0.5</v>
      </c>
    </row>
    <row r="26" spans="49:52" x14ac:dyDescent="0.2">
      <c r="AW26">
        <v>512170</v>
      </c>
      <c r="AX26" s="6">
        <v>512170</v>
      </c>
      <c r="AY26" s="6">
        <v>1</v>
      </c>
      <c r="AZ26" s="6">
        <v>0.5</v>
      </c>
    </row>
    <row r="27" spans="49:52" x14ac:dyDescent="0.2">
      <c r="AW27">
        <v>512193</v>
      </c>
      <c r="AX27" s="6">
        <v>512193</v>
      </c>
      <c r="AY27" s="6">
        <v>1</v>
      </c>
      <c r="AZ27" s="6">
        <v>0.5</v>
      </c>
    </row>
    <row r="28" spans="49:52" x14ac:dyDescent="0.2">
      <c r="AW28">
        <v>512210</v>
      </c>
      <c r="AX28" s="6">
        <v>512210</v>
      </c>
      <c r="AY28" s="6">
        <v>1</v>
      </c>
      <c r="AZ28" s="6">
        <v>0.5</v>
      </c>
    </row>
    <row r="29" spans="49:52" x14ac:dyDescent="0.2">
      <c r="AW29">
        <v>512233</v>
      </c>
      <c r="AX29" s="6">
        <v>512233</v>
      </c>
      <c r="AY29" s="6">
        <v>1</v>
      </c>
      <c r="AZ29" s="6">
        <v>0.5</v>
      </c>
    </row>
    <row r="30" spans="49:52" x14ac:dyDescent="0.2">
      <c r="AW30">
        <v>512253</v>
      </c>
      <c r="AX30" s="6">
        <v>512253</v>
      </c>
      <c r="AY30" s="6">
        <v>1</v>
      </c>
      <c r="AZ30" s="6">
        <v>0.5</v>
      </c>
    </row>
    <row r="31" spans="49:52" x14ac:dyDescent="0.2">
      <c r="AW31">
        <v>512282</v>
      </c>
      <c r="AX31" s="6">
        <v>512282</v>
      </c>
      <c r="AY31" s="6">
        <v>1</v>
      </c>
      <c r="AZ31" s="6">
        <v>0.5</v>
      </c>
    </row>
    <row r="32" spans="49:52" x14ac:dyDescent="0.2">
      <c r="AW32">
        <v>512319</v>
      </c>
      <c r="AX32" s="6">
        <v>512319</v>
      </c>
      <c r="AY32" s="6">
        <v>1</v>
      </c>
      <c r="AZ32" s="6">
        <v>0.5</v>
      </c>
    </row>
    <row r="33" spans="49:52" x14ac:dyDescent="0.2">
      <c r="AW33">
        <v>512360</v>
      </c>
      <c r="AX33" s="6">
        <v>512360</v>
      </c>
      <c r="AY33" s="6">
        <v>1</v>
      </c>
      <c r="AZ33" s="6">
        <v>0.5</v>
      </c>
    </row>
    <row r="34" spans="49:52" x14ac:dyDescent="0.2">
      <c r="AW34">
        <v>512417</v>
      </c>
      <c r="AX34" s="6">
        <v>512417</v>
      </c>
      <c r="AY34" s="6">
        <v>1</v>
      </c>
      <c r="AZ34" s="6">
        <v>0.5</v>
      </c>
    </row>
    <row r="35" spans="49:52" x14ac:dyDescent="0.2">
      <c r="AW35">
        <v>512452</v>
      </c>
      <c r="AX35" s="6">
        <v>512452</v>
      </c>
      <c r="AY35" s="6">
        <v>1</v>
      </c>
      <c r="AZ35" s="6">
        <v>0.5</v>
      </c>
    </row>
    <row r="36" spans="49:52" x14ac:dyDescent="0.2">
      <c r="AW36">
        <v>512473</v>
      </c>
      <c r="AX36" s="6">
        <v>512473</v>
      </c>
      <c r="AY36" s="6">
        <v>1</v>
      </c>
      <c r="AZ36" s="6">
        <v>0.5</v>
      </c>
    </row>
    <row r="37" spans="49:52" x14ac:dyDescent="0.2">
      <c r="AW37">
        <v>512490</v>
      </c>
      <c r="AX37" s="6">
        <v>512490</v>
      </c>
      <c r="AY37" s="6">
        <v>1</v>
      </c>
      <c r="AZ37" s="6">
        <v>1</v>
      </c>
    </row>
    <row r="38" spans="49:52" x14ac:dyDescent="0.2">
      <c r="AW38">
        <v>512503</v>
      </c>
      <c r="AX38" s="6">
        <v>512503</v>
      </c>
      <c r="AY38" s="6">
        <v>1</v>
      </c>
      <c r="AZ38" s="6">
        <v>0.75</v>
      </c>
    </row>
    <row r="39" spans="49:52" x14ac:dyDescent="0.2">
      <c r="AW39">
        <v>512527</v>
      </c>
      <c r="AX39" s="6">
        <v>512527</v>
      </c>
      <c r="AY39" s="6">
        <v>1</v>
      </c>
      <c r="AZ39" s="6">
        <v>0.75</v>
      </c>
    </row>
    <row r="40" spans="49:52" x14ac:dyDescent="0.2">
      <c r="AW40">
        <v>512543</v>
      </c>
      <c r="AX40" s="6">
        <v>512543</v>
      </c>
      <c r="AY40" s="6">
        <v>1</v>
      </c>
      <c r="AZ40" s="6">
        <v>0.75</v>
      </c>
    </row>
    <row r="41" spans="49:52" x14ac:dyDescent="0.2">
      <c r="AW41">
        <v>512566</v>
      </c>
      <c r="AX41" s="6">
        <v>512566</v>
      </c>
      <c r="AY41" s="6">
        <v>1</v>
      </c>
      <c r="AZ41" s="6">
        <v>0.75</v>
      </c>
    </row>
    <row r="42" spans="49:52" x14ac:dyDescent="0.2">
      <c r="AW42">
        <v>512592</v>
      </c>
      <c r="AX42" s="6">
        <v>512592</v>
      </c>
      <c r="AY42" s="6">
        <v>1</v>
      </c>
      <c r="AZ42" s="6">
        <v>0.75</v>
      </c>
    </row>
    <row r="43" spans="49:52" x14ac:dyDescent="0.2">
      <c r="AW43">
        <v>512612</v>
      </c>
      <c r="AX43" s="6">
        <v>512612</v>
      </c>
      <c r="AY43" s="6">
        <v>1</v>
      </c>
      <c r="AZ43" s="6">
        <v>0.75</v>
      </c>
    </row>
    <row r="44" spans="49:52" x14ac:dyDescent="0.2">
      <c r="AW44">
        <v>512634</v>
      </c>
      <c r="AX44" s="6">
        <v>512634</v>
      </c>
      <c r="AY44" s="6">
        <v>1</v>
      </c>
      <c r="AZ44" s="6">
        <v>0.75</v>
      </c>
    </row>
    <row r="45" spans="49:52" x14ac:dyDescent="0.2">
      <c r="AW45">
        <v>512658</v>
      </c>
      <c r="AX45" s="6">
        <v>512658</v>
      </c>
      <c r="AY45" s="6">
        <v>1</v>
      </c>
      <c r="AZ45" s="6">
        <v>0.75</v>
      </c>
    </row>
    <row r="46" spans="49:52" x14ac:dyDescent="0.2">
      <c r="AW46">
        <v>512677</v>
      </c>
      <c r="AX46" s="6">
        <v>512677</v>
      </c>
      <c r="AY46" s="6">
        <v>1</v>
      </c>
      <c r="AZ46" s="6">
        <v>0.75</v>
      </c>
    </row>
    <row r="47" spans="49:52" x14ac:dyDescent="0.2">
      <c r="AW47">
        <v>512696</v>
      </c>
      <c r="AX47" s="6">
        <v>512696</v>
      </c>
      <c r="AY47" s="6">
        <v>1</v>
      </c>
      <c r="AZ47" s="6">
        <v>0.75</v>
      </c>
    </row>
    <row r="48" spans="49:52" x14ac:dyDescent="0.2">
      <c r="AW48">
        <v>512718</v>
      </c>
      <c r="AX48" s="6">
        <v>512718</v>
      </c>
      <c r="AY48" s="6">
        <v>1</v>
      </c>
      <c r="AZ48" s="6">
        <v>0.5</v>
      </c>
    </row>
    <row r="49" spans="49:52" x14ac:dyDescent="0.2">
      <c r="AW49">
        <v>512743</v>
      </c>
      <c r="AX49" s="6">
        <v>512743</v>
      </c>
      <c r="AY49" s="6">
        <v>1</v>
      </c>
      <c r="AZ49" s="6">
        <v>0.75</v>
      </c>
    </row>
    <row r="50" spans="49:52" x14ac:dyDescent="0.2">
      <c r="AW50">
        <v>512768</v>
      </c>
      <c r="AX50" s="6">
        <v>512768</v>
      </c>
      <c r="AY50" s="6">
        <v>1</v>
      </c>
      <c r="AZ50" s="6">
        <v>0.75</v>
      </c>
    </row>
    <row r="51" spans="49:52" x14ac:dyDescent="0.2">
      <c r="AW51">
        <v>512792</v>
      </c>
      <c r="AX51" s="6">
        <v>512792</v>
      </c>
      <c r="AY51" s="6">
        <v>1</v>
      </c>
      <c r="AZ51" s="6">
        <v>0.5</v>
      </c>
    </row>
    <row r="52" spans="49:52" x14ac:dyDescent="0.2">
      <c r="AW52">
        <v>512804</v>
      </c>
      <c r="AX52" s="6">
        <v>512804</v>
      </c>
      <c r="AY52" s="6">
        <v>1</v>
      </c>
      <c r="AZ52" s="6">
        <v>0.75</v>
      </c>
    </row>
    <row r="53" spans="49:52" x14ac:dyDescent="0.2">
      <c r="AW53">
        <v>512817</v>
      </c>
      <c r="AX53" s="6">
        <v>512817</v>
      </c>
      <c r="AY53" s="6">
        <v>1</v>
      </c>
      <c r="AZ53" s="6">
        <v>0.5</v>
      </c>
    </row>
    <row r="54" spans="49:52" x14ac:dyDescent="0.2">
      <c r="AW54">
        <v>512835</v>
      </c>
      <c r="AX54" s="6">
        <v>512835</v>
      </c>
      <c r="AY54" s="6">
        <v>1</v>
      </c>
      <c r="AZ54" s="6">
        <v>0.5</v>
      </c>
    </row>
    <row r="55" spans="49:52" x14ac:dyDescent="0.2">
      <c r="AW55">
        <v>512850</v>
      </c>
      <c r="AX55" s="6">
        <v>512850</v>
      </c>
      <c r="AY55" s="6">
        <v>1</v>
      </c>
      <c r="AZ55" s="6">
        <v>0.5</v>
      </c>
    </row>
    <row r="56" spans="49:52" x14ac:dyDescent="0.2">
      <c r="AW56">
        <v>512863</v>
      </c>
      <c r="AX56" s="6">
        <v>512863</v>
      </c>
      <c r="AY56" s="6">
        <v>1</v>
      </c>
      <c r="AZ56" s="6">
        <v>0.5</v>
      </c>
    </row>
    <row r="57" spans="49:52" x14ac:dyDescent="0.2">
      <c r="AW57">
        <v>512881</v>
      </c>
      <c r="AX57" s="6">
        <v>512881</v>
      </c>
      <c r="AY57" s="6">
        <v>1</v>
      </c>
      <c r="AZ57" s="6">
        <v>0.75</v>
      </c>
    </row>
    <row r="58" spans="49:52" x14ac:dyDescent="0.2">
      <c r="AW58">
        <v>512900</v>
      </c>
      <c r="AX58" s="6">
        <v>512900</v>
      </c>
      <c r="AY58" s="6">
        <v>1</v>
      </c>
      <c r="AZ58" s="6">
        <v>0.5</v>
      </c>
    </row>
    <row r="59" spans="49:52" x14ac:dyDescent="0.2">
      <c r="AW59">
        <v>512916</v>
      </c>
      <c r="AX59" s="6">
        <v>512916</v>
      </c>
      <c r="AY59" s="6">
        <v>1</v>
      </c>
      <c r="AZ59" s="6">
        <v>0.5</v>
      </c>
    </row>
    <row r="60" spans="49:52" x14ac:dyDescent="0.2">
      <c r="AW60">
        <v>512932</v>
      </c>
      <c r="AX60" s="6">
        <v>512932</v>
      </c>
      <c r="AY60" s="6">
        <v>1</v>
      </c>
      <c r="AZ60" s="6">
        <v>0.5</v>
      </c>
    </row>
    <row r="61" spans="49:52" x14ac:dyDescent="0.2">
      <c r="AW61">
        <v>512956</v>
      </c>
      <c r="AX61" s="6">
        <v>512956</v>
      </c>
      <c r="AY61" s="6">
        <v>1</v>
      </c>
      <c r="AZ61" s="6">
        <v>0.5</v>
      </c>
    </row>
    <row r="62" spans="49:52" x14ac:dyDescent="0.2">
      <c r="AW62">
        <v>512974</v>
      </c>
      <c r="AX62" s="6">
        <v>512974</v>
      </c>
      <c r="AY62" s="6">
        <v>1</v>
      </c>
      <c r="AZ62" s="6">
        <v>0.5</v>
      </c>
    </row>
    <row r="63" spans="49:52" x14ac:dyDescent="0.2">
      <c r="AW63">
        <v>512995</v>
      </c>
      <c r="AX63" s="6">
        <v>512995</v>
      </c>
      <c r="AY63" s="6">
        <v>1</v>
      </c>
      <c r="AZ63" s="6">
        <v>0.5</v>
      </c>
    </row>
    <row r="64" spans="49:52" x14ac:dyDescent="0.2">
      <c r="AW64">
        <v>513020</v>
      </c>
      <c r="AX64" s="6">
        <v>513020</v>
      </c>
      <c r="AY64" s="6">
        <v>1</v>
      </c>
      <c r="AZ64" s="6">
        <v>0.5</v>
      </c>
    </row>
    <row r="65" spans="49:52" x14ac:dyDescent="0.2">
      <c r="AW65">
        <v>513045</v>
      </c>
      <c r="AX65" s="6">
        <v>513045</v>
      </c>
      <c r="AY65" s="6">
        <v>1</v>
      </c>
      <c r="AZ65" s="6">
        <v>0.5</v>
      </c>
    </row>
    <row r="66" spans="49:52" x14ac:dyDescent="0.2">
      <c r="AW66">
        <v>513063</v>
      </c>
      <c r="AX66" s="6">
        <v>513063</v>
      </c>
      <c r="AY66" s="6">
        <v>1</v>
      </c>
      <c r="AZ66" s="6">
        <v>0.5</v>
      </c>
    </row>
    <row r="67" spans="49:52" x14ac:dyDescent="0.2">
      <c r="AW67">
        <v>513082</v>
      </c>
      <c r="AX67" s="6">
        <v>513082</v>
      </c>
      <c r="AY67" s="6">
        <v>1</v>
      </c>
      <c r="AZ67" s="6">
        <v>0.75</v>
      </c>
    </row>
    <row r="68" spans="49:52" x14ac:dyDescent="0.2">
      <c r="AW68">
        <v>513098</v>
      </c>
      <c r="AX68" s="6">
        <v>513098</v>
      </c>
      <c r="AY68" s="6">
        <v>1</v>
      </c>
      <c r="AZ68" s="6">
        <v>0.5</v>
      </c>
    </row>
    <row r="69" spans="49:52" x14ac:dyDescent="0.2">
      <c r="AW69">
        <v>513112</v>
      </c>
      <c r="AX69" s="6">
        <v>513112</v>
      </c>
      <c r="AY69" s="6">
        <v>1</v>
      </c>
      <c r="AZ69" s="6">
        <v>0.5</v>
      </c>
    </row>
  </sheetData>
  <phoneticPr fontId="5" type="noConversion"/>
  <pageMargins left="0.75" right="0.75" top="1" bottom="1" header="0.5" footer="0.5"/>
  <headerFooter alignWithMargins="0">
    <oddHeader>&amp;R&amp;"Calibri"&amp;12&amp;K000000 Unclassified - Non-Classifié&amp;1#_x000D_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E20:HQ34"/>
  <sheetViews>
    <sheetView workbookViewId="0"/>
  </sheetViews>
  <sheetFormatPr defaultRowHeight="12.75" x14ac:dyDescent="0.2"/>
  <cols>
    <col min="5" max="5" width="8.42578125" customWidth="1"/>
    <col min="8" max="8" width="8.42578125" customWidth="1"/>
    <col min="11" max="11" width="8.42578125" customWidth="1"/>
    <col min="14" max="14" width="8.42578125" customWidth="1"/>
    <col min="17" max="17" width="8.42578125" customWidth="1"/>
    <col min="20" max="20" width="8.42578125" customWidth="1"/>
    <col min="24" max="24" width="8.42578125" customWidth="1"/>
    <col min="28" max="28" width="8.42578125" customWidth="1"/>
    <col min="31" max="31" width="8.42578125" customWidth="1"/>
    <col min="34" max="34" width="8.42578125" customWidth="1"/>
    <col min="37" max="37" width="8.42578125" customWidth="1"/>
    <col min="40" max="40" width="8.42578125" customWidth="1"/>
    <col min="43" max="43" width="8.42578125" customWidth="1"/>
    <col min="46" max="46" width="8.42578125" customWidth="1"/>
    <col min="49" max="49" width="8.42578125" customWidth="1"/>
    <col min="52" max="52" width="8.42578125" customWidth="1"/>
    <col min="55" max="55" width="8.42578125" customWidth="1"/>
    <col min="58" max="58" width="8.42578125" customWidth="1"/>
    <col min="61" max="61" width="8.42578125" customWidth="1"/>
    <col min="64" max="64" width="8.42578125" customWidth="1"/>
    <col min="67" max="67" width="8.42578125" customWidth="1"/>
    <col min="70" max="70" width="8.42578125" customWidth="1"/>
    <col min="73" max="73" width="8.42578125" customWidth="1"/>
    <col min="76" max="76" width="8.42578125" customWidth="1"/>
    <col min="79" max="79" width="8.42578125" customWidth="1"/>
    <col min="82" max="82" width="8.42578125" customWidth="1"/>
    <col min="85" max="85" width="8.42578125" customWidth="1"/>
    <col min="88" max="88" width="8.42578125" customWidth="1"/>
    <col min="91" max="91" width="8.42578125" customWidth="1"/>
    <col min="94" max="94" width="8.42578125" customWidth="1"/>
    <col min="97" max="97" width="8.42578125" customWidth="1"/>
    <col min="100" max="100" width="8.42578125" customWidth="1"/>
    <col min="103" max="103" width="8.42578125" customWidth="1"/>
    <col min="106" max="106" width="8.42578125" customWidth="1"/>
    <col min="109" max="109" width="8.42578125" customWidth="1"/>
    <col min="112" max="112" width="8.42578125" customWidth="1"/>
    <col min="115" max="115" width="8.42578125" customWidth="1"/>
    <col min="118" max="118" width="8.42578125" customWidth="1"/>
    <col min="121" max="121" width="8.42578125" customWidth="1"/>
    <col min="124" max="124" width="8.42578125" customWidth="1"/>
    <col min="131" max="131" width="8.42578125" customWidth="1"/>
    <col min="134" max="134" width="8.42578125" customWidth="1"/>
    <col min="137" max="137" width="8.42578125" customWidth="1"/>
    <col min="140" max="140" width="8.42578125" customWidth="1"/>
    <col min="143" max="143" width="8.42578125" customWidth="1"/>
    <col min="146" max="146" width="8.42578125" customWidth="1"/>
    <col min="149" max="149" width="8.42578125" customWidth="1"/>
    <col min="152" max="152" width="8.42578125" customWidth="1"/>
    <col min="165" max="165" width="8.42578125" customWidth="1"/>
    <col min="168" max="168" width="8.42578125" customWidth="1"/>
    <col min="171" max="171" width="8.42578125" customWidth="1"/>
    <col min="174" max="174" width="8.42578125" customWidth="1"/>
    <col min="177" max="177" width="8.42578125" customWidth="1"/>
    <col min="180" max="180" width="8.42578125" customWidth="1"/>
    <col min="183" max="183" width="8.42578125" customWidth="1"/>
    <col min="186" max="186" width="8.42578125" customWidth="1"/>
    <col min="189" max="189" width="8.42578125" customWidth="1"/>
    <col min="192" max="192" width="8.42578125" customWidth="1"/>
    <col min="195" max="195" width="8.42578125" customWidth="1"/>
    <col min="198" max="198" width="8.42578125" customWidth="1"/>
    <col min="201" max="201" width="8.42578125" customWidth="1"/>
    <col min="204" max="204" width="8.42578125" customWidth="1"/>
    <col min="207" max="207" width="8.42578125" customWidth="1"/>
    <col min="210" max="210" width="8.42578125" customWidth="1"/>
    <col min="213" max="213" width="8.42578125" customWidth="1"/>
    <col min="216" max="216" width="8.42578125" customWidth="1"/>
    <col min="219" max="219" width="8.42578125" customWidth="1"/>
  </cols>
  <sheetData>
    <row r="20" spans="5:225" x14ac:dyDescent="0.2">
      <c r="E20" s="2"/>
      <c r="H20" s="2"/>
      <c r="K20" s="2"/>
      <c r="N20" s="2"/>
      <c r="Q20" s="2"/>
      <c r="T20" s="2"/>
      <c r="X20" s="2"/>
      <c r="AB20" s="2"/>
      <c r="AE20" s="2"/>
      <c r="AH20" s="2"/>
      <c r="AK20" s="2"/>
      <c r="AN20" s="2"/>
      <c r="AQ20" s="2"/>
      <c r="AT20" s="2"/>
      <c r="AW20" s="2"/>
      <c r="AZ20" s="2"/>
      <c r="BC20" s="2"/>
      <c r="BF20" s="2"/>
      <c r="BI20" s="2"/>
      <c r="BL20" s="2"/>
      <c r="BO20" s="2"/>
      <c r="BR20" s="2"/>
      <c r="BU20" s="2"/>
      <c r="BX20" s="2"/>
      <c r="CA20" s="2"/>
      <c r="CD20" s="2"/>
      <c r="CG20" s="2"/>
      <c r="CJ20" s="2"/>
      <c r="CM20" s="2"/>
      <c r="CP20" s="2"/>
      <c r="CS20" s="2"/>
      <c r="CV20" s="2"/>
      <c r="CY20" s="2"/>
      <c r="DB20" s="2"/>
      <c r="DE20" s="2"/>
      <c r="DH20" s="2"/>
      <c r="DK20" s="2"/>
      <c r="DN20" s="2"/>
      <c r="DQ20" s="2"/>
      <c r="DT20" s="2"/>
      <c r="EA20" s="2"/>
      <c r="ED20" s="2"/>
      <c r="EG20" s="2"/>
      <c r="EJ20" s="2"/>
      <c r="EM20" s="2"/>
      <c r="EP20" s="2"/>
      <c r="ES20" s="2"/>
      <c r="EV20" s="2"/>
      <c r="FI20" s="2"/>
      <c r="FL20" s="2"/>
      <c r="FO20" s="2"/>
      <c r="FR20" s="2"/>
      <c r="FU20" s="2"/>
      <c r="FX20" s="2"/>
      <c r="GA20" s="2"/>
      <c r="GD20" s="2"/>
      <c r="GG20" s="2"/>
      <c r="GJ20" s="2"/>
      <c r="GM20" s="2"/>
      <c r="GP20" s="2"/>
      <c r="GS20" s="2"/>
      <c r="GV20" s="2"/>
      <c r="GY20" s="2"/>
      <c r="HB20" s="2"/>
      <c r="HE20" s="2"/>
      <c r="HH20" s="2"/>
      <c r="HK20" s="2"/>
      <c r="HN20" s="2"/>
      <c r="HQ20" s="2"/>
    </row>
    <row r="21" spans="5:225" x14ac:dyDescent="0.2">
      <c r="E21" s="2"/>
      <c r="H21" s="2"/>
      <c r="K21" s="2"/>
      <c r="N21" s="2"/>
      <c r="Q21" s="2"/>
      <c r="T21" s="2"/>
      <c r="X21" s="2"/>
      <c r="AB21" s="2"/>
      <c r="AE21" s="2"/>
      <c r="AH21" s="2"/>
      <c r="AK21" s="2"/>
      <c r="AN21" s="2"/>
      <c r="AQ21" s="2"/>
      <c r="AT21" s="2"/>
      <c r="AW21" s="2"/>
      <c r="AZ21" s="2"/>
      <c r="BC21" s="2"/>
      <c r="BF21" s="2"/>
      <c r="BI21" s="2"/>
      <c r="BL21" s="2"/>
      <c r="BO21" s="2"/>
      <c r="BR21" s="2"/>
      <c r="BU21" s="2"/>
      <c r="BX21" s="2"/>
      <c r="CA21" s="2"/>
      <c r="CD21" s="2"/>
      <c r="CG21" s="2"/>
      <c r="CJ21" s="2"/>
      <c r="CM21" s="2"/>
      <c r="CP21" s="2"/>
      <c r="CS21" s="2"/>
      <c r="CV21" s="2"/>
      <c r="CY21" s="2"/>
      <c r="DB21" s="2"/>
      <c r="DE21" s="2"/>
      <c r="DH21" s="2"/>
      <c r="DK21" s="2"/>
      <c r="DN21" s="2"/>
      <c r="DQ21" s="2"/>
      <c r="DT21" s="2"/>
      <c r="EA21" s="2"/>
      <c r="ED21" s="2"/>
      <c r="EG21" s="2"/>
      <c r="EJ21" s="2"/>
      <c r="EM21" s="2"/>
      <c r="EP21" s="2"/>
      <c r="ES21" s="2"/>
      <c r="EV21" s="2"/>
      <c r="FI21" s="2"/>
      <c r="FL21" s="2"/>
      <c r="FO21" s="2"/>
      <c r="FR21" s="2"/>
      <c r="FU21" s="2"/>
      <c r="FX21" s="2"/>
      <c r="GA21" s="2"/>
      <c r="GD21" s="2"/>
      <c r="GG21" s="2"/>
      <c r="GJ21" s="2"/>
      <c r="GM21" s="2"/>
      <c r="GP21" s="2"/>
      <c r="GS21" s="2"/>
      <c r="GV21" s="2"/>
      <c r="GY21" s="2"/>
      <c r="HB21" s="2"/>
      <c r="HE21" s="2"/>
      <c r="HH21" s="2"/>
      <c r="HK21" s="2"/>
      <c r="HN21" s="2"/>
      <c r="HQ21" s="2"/>
    </row>
    <row r="22" spans="5:225" x14ac:dyDescent="0.2">
      <c r="E22" s="2"/>
      <c r="H22" s="2"/>
      <c r="K22" s="2"/>
      <c r="N22" s="2"/>
      <c r="Q22" s="2"/>
      <c r="T22" s="2"/>
      <c r="X22" s="2"/>
      <c r="AB22" s="2"/>
      <c r="AE22" s="2"/>
      <c r="AH22" s="2"/>
      <c r="AK22" s="2"/>
      <c r="AN22" s="2"/>
      <c r="AQ22" s="2"/>
      <c r="AT22" s="2"/>
      <c r="AW22" s="2"/>
      <c r="AZ22" s="2"/>
      <c r="BC22" s="2"/>
      <c r="BF22" s="2"/>
      <c r="BI22" s="2"/>
      <c r="BL22" s="2"/>
      <c r="BO22" s="2"/>
      <c r="BR22" s="2"/>
      <c r="BU22" s="2"/>
      <c r="BX22" s="2"/>
      <c r="CA22" s="2"/>
      <c r="CD22" s="2"/>
      <c r="CG22" s="2"/>
      <c r="CJ22" s="2"/>
      <c r="CM22" s="2"/>
      <c r="CP22" s="2"/>
      <c r="CS22" s="2"/>
      <c r="CV22" s="2"/>
      <c r="CY22" s="2"/>
      <c r="DB22" s="2"/>
      <c r="DE22" s="2"/>
      <c r="DH22" s="2"/>
      <c r="DK22" s="2"/>
      <c r="DN22" s="2"/>
      <c r="DQ22" s="2"/>
      <c r="DT22" s="2"/>
      <c r="EA22" s="2"/>
      <c r="ED22" s="2"/>
      <c r="EG22" s="2"/>
      <c r="EJ22" s="2"/>
      <c r="EM22" s="2"/>
      <c r="EP22" s="2"/>
      <c r="ES22" s="2"/>
      <c r="EV22" s="2"/>
      <c r="FI22" s="2"/>
      <c r="FL22" s="2"/>
      <c r="FO22" s="2"/>
      <c r="FR22" s="2"/>
      <c r="FU22" s="2"/>
      <c r="FX22" s="2"/>
      <c r="GA22" s="2"/>
      <c r="GD22" s="2"/>
      <c r="GG22" s="2"/>
      <c r="GJ22" s="2"/>
      <c r="GM22" s="2"/>
      <c r="GP22" s="2"/>
      <c r="GS22" s="2"/>
      <c r="GV22" s="2"/>
      <c r="GY22" s="2"/>
      <c r="HB22" s="2"/>
      <c r="HE22" s="2"/>
      <c r="HH22" s="2"/>
      <c r="HK22" s="2"/>
      <c r="HN22" s="2"/>
      <c r="HQ22" s="2"/>
    </row>
    <row r="23" spans="5:225" x14ac:dyDescent="0.2">
      <c r="E23" s="2"/>
      <c r="H23" s="2"/>
      <c r="K23" s="2"/>
      <c r="N23" s="2"/>
      <c r="Q23" s="2"/>
      <c r="T23" s="2"/>
      <c r="X23" s="2"/>
      <c r="AB23" s="2"/>
      <c r="AE23" s="2"/>
      <c r="AH23" s="2"/>
      <c r="AK23" s="2"/>
      <c r="AN23" s="2"/>
      <c r="AQ23" s="2"/>
      <c r="AT23" s="2"/>
      <c r="AW23" s="2"/>
      <c r="AZ23" s="2"/>
      <c r="BC23" s="2"/>
      <c r="BF23" s="2"/>
      <c r="BI23" s="2"/>
      <c r="BL23" s="2"/>
      <c r="BO23" s="2"/>
      <c r="BR23" s="2"/>
      <c r="BU23" s="2"/>
      <c r="BX23" s="2"/>
      <c r="CA23" s="2"/>
      <c r="CD23" s="2"/>
      <c r="CG23" s="2"/>
      <c r="CJ23" s="2"/>
      <c r="CM23" s="2"/>
      <c r="CP23" s="2"/>
      <c r="CS23" s="2"/>
      <c r="CV23" s="2"/>
      <c r="CY23" s="2"/>
      <c r="DB23" s="2"/>
      <c r="DE23" s="2"/>
      <c r="DH23" s="2"/>
      <c r="DK23" s="2"/>
      <c r="DN23" s="2"/>
      <c r="DQ23" s="2"/>
      <c r="DT23" s="2"/>
      <c r="EA23" s="2"/>
      <c r="ED23" s="2"/>
      <c r="EG23" s="2"/>
      <c r="EJ23" s="2"/>
      <c r="EM23" s="2"/>
      <c r="EP23" s="2"/>
      <c r="ES23" s="2"/>
      <c r="EV23" s="2"/>
      <c r="FI23" s="2"/>
      <c r="FL23" s="2"/>
      <c r="FO23" s="2"/>
      <c r="FR23" s="2"/>
      <c r="FU23" s="2"/>
      <c r="FX23" s="2"/>
      <c r="GA23" s="2"/>
      <c r="GD23" s="2"/>
      <c r="GG23" s="2"/>
      <c r="GJ23" s="2"/>
      <c r="GM23" s="2"/>
      <c r="GP23" s="2"/>
      <c r="GS23" s="2"/>
      <c r="GV23" s="2"/>
      <c r="GY23" s="2"/>
      <c r="HB23" s="2"/>
      <c r="HE23" s="2"/>
      <c r="HH23" s="2"/>
      <c r="HK23" s="2"/>
      <c r="HN23" s="2"/>
      <c r="HQ23" s="2"/>
    </row>
    <row r="24" spans="5:225" x14ac:dyDescent="0.2">
      <c r="E24" s="2"/>
      <c r="H24" s="2"/>
      <c r="K24" s="2"/>
      <c r="N24" s="2"/>
      <c r="Q24" s="2"/>
      <c r="T24" s="2"/>
      <c r="X24" s="2"/>
      <c r="AB24" s="2"/>
      <c r="AE24" s="2"/>
      <c r="AH24" s="2"/>
      <c r="AK24" s="2"/>
      <c r="AN24" s="2"/>
      <c r="AQ24" s="2"/>
      <c r="AT24" s="2"/>
      <c r="AW24" s="2"/>
      <c r="AZ24" s="2"/>
      <c r="BC24" s="2"/>
      <c r="BF24" s="2"/>
      <c r="BI24" s="2"/>
      <c r="BL24" s="2"/>
      <c r="BO24" s="2"/>
      <c r="BR24" s="2"/>
      <c r="BU24" s="2"/>
      <c r="BX24" s="2"/>
      <c r="CA24" s="2"/>
      <c r="CD24" s="2"/>
      <c r="CG24" s="2"/>
      <c r="CJ24" s="2"/>
      <c r="CM24" s="2"/>
      <c r="CP24" s="2"/>
      <c r="CS24" s="2"/>
      <c r="CV24" s="2"/>
      <c r="CY24" s="2"/>
      <c r="DB24" s="2"/>
      <c r="DE24" s="2"/>
      <c r="DH24" s="2"/>
      <c r="DK24" s="2"/>
      <c r="DN24" s="2"/>
      <c r="DQ24" s="2"/>
      <c r="DT24" s="2"/>
      <c r="EA24" s="2"/>
      <c r="ED24" s="2"/>
      <c r="EG24" s="2"/>
      <c r="EJ24" s="2"/>
      <c r="EM24" s="2"/>
      <c r="EP24" s="2"/>
      <c r="ES24" s="2"/>
      <c r="EV24" s="2"/>
      <c r="FI24" s="2"/>
      <c r="FL24" s="2"/>
      <c r="FO24" s="2"/>
      <c r="FR24" s="2"/>
      <c r="FU24" s="2"/>
      <c r="FX24" s="2"/>
      <c r="GA24" s="2"/>
      <c r="GD24" s="2"/>
      <c r="GG24" s="2"/>
      <c r="GJ24" s="2"/>
      <c r="GM24" s="2"/>
      <c r="GP24" s="2"/>
      <c r="GS24" s="2"/>
      <c r="GV24" s="2"/>
      <c r="GY24" s="2"/>
      <c r="HB24" s="2"/>
      <c r="HE24" s="2"/>
      <c r="HH24" s="2"/>
      <c r="HK24" s="2"/>
      <c r="HN24" s="2"/>
      <c r="HQ24" s="2"/>
    </row>
    <row r="25" spans="5:225" x14ac:dyDescent="0.2">
      <c r="E25" s="2"/>
      <c r="H25" s="2"/>
      <c r="K25" s="2"/>
      <c r="N25" s="2"/>
      <c r="Q25" s="2"/>
      <c r="T25" s="2"/>
      <c r="X25" s="2"/>
      <c r="AB25" s="2"/>
      <c r="AE25" s="2"/>
      <c r="AH25" s="2"/>
      <c r="AK25" s="2"/>
      <c r="AN25" s="2"/>
      <c r="AQ25" s="2"/>
      <c r="AT25" s="2"/>
      <c r="AW25" s="2"/>
      <c r="AZ25" s="2"/>
      <c r="BC25" s="2"/>
      <c r="BF25" s="2"/>
      <c r="BI25" s="2"/>
      <c r="BL25" s="2"/>
      <c r="BO25" s="2"/>
      <c r="BR25" s="2"/>
      <c r="BU25" s="2"/>
      <c r="BX25" s="2"/>
      <c r="CA25" s="2"/>
      <c r="CD25" s="2"/>
      <c r="CG25" s="2"/>
      <c r="CJ25" s="2"/>
      <c r="CM25" s="2"/>
      <c r="CP25" s="2"/>
      <c r="CS25" s="2"/>
      <c r="CV25" s="2"/>
      <c r="CY25" s="2"/>
      <c r="DB25" s="2"/>
      <c r="DE25" s="2"/>
      <c r="DH25" s="2"/>
      <c r="DK25" s="2"/>
      <c r="DN25" s="2"/>
      <c r="DQ25" s="2"/>
      <c r="DT25" s="2"/>
      <c r="EA25" s="2"/>
      <c r="ED25" s="2"/>
      <c r="EG25" s="2"/>
      <c r="EJ25" s="2"/>
      <c r="EM25" s="2"/>
      <c r="EP25" s="2"/>
      <c r="ES25" s="2"/>
      <c r="EV25" s="2"/>
      <c r="FI25" s="2"/>
      <c r="FL25" s="2"/>
      <c r="FO25" s="2"/>
      <c r="FR25" s="2"/>
      <c r="FU25" s="2"/>
      <c r="FX25" s="2"/>
      <c r="GA25" s="2"/>
      <c r="GD25" s="2"/>
      <c r="GG25" s="2"/>
      <c r="GJ25" s="2"/>
      <c r="GM25" s="2"/>
      <c r="GP25" s="2"/>
      <c r="GS25" s="2"/>
      <c r="GV25" s="2"/>
      <c r="GY25" s="2"/>
      <c r="HB25" s="2"/>
      <c r="HE25" s="2"/>
      <c r="HH25" s="2"/>
      <c r="HK25" s="2"/>
      <c r="HN25" s="2"/>
      <c r="HQ25" s="2"/>
    </row>
    <row r="26" spans="5:225" x14ac:dyDescent="0.2">
      <c r="E26" s="2"/>
      <c r="H26" s="2"/>
      <c r="K26" s="2"/>
      <c r="N26" s="2"/>
      <c r="Q26" s="2"/>
      <c r="T26" s="2"/>
      <c r="X26" s="2"/>
      <c r="AB26" s="2"/>
      <c r="AE26" s="2"/>
      <c r="AH26" s="2"/>
      <c r="AK26" s="2"/>
      <c r="AN26" s="2"/>
      <c r="AQ26" s="2"/>
      <c r="AT26" s="2"/>
      <c r="AW26" s="2"/>
      <c r="AZ26" s="2"/>
      <c r="BC26" s="2"/>
      <c r="BF26" s="2"/>
      <c r="BI26" s="2"/>
      <c r="BL26" s="2"/>
      <c r="BO26" s="2"/>
      <c r="BR26" s="2"/>
      <c r="BU26" s="2"/>
      <c r="BX26" s="2"/>
      <c r="CA26" s="2"/>
      <c r="CD26" s="2"/>
      <c r="CG26" s="2"/>
      <c r="CJ26" s="2"/>
      <c r="CM26" s="2"/>
      <c r="CP26" s="2"/>
      <c r="CS26" s="2"/>
      <c r="CV26" s="2"/>
      <c r="CY26" s="2"/>
      <c r="DB26" s="2"/>
      <c r="DE26" s="2"/>
      <c r="DH26" s="2"/>
      <c r="DK26" s="2"/>
      <c r="DN26" s="2"/>
      <c r="DQ26" s="2"/>
      <c r="DT26" s="2"/>
      <c r="EA26" s="2"/>
      <c r="ED26" s="2"/>
      <c r="EG26" s="2"/>
      <c r="EJ26" s="2"/>
      <c r="EM26" s="2"/>
      <c r="EP26" s="2"/>
      <c r="ES26" s="2"/>
      <c r="EV26" s="2"/>
      <c r="FI26" s="2"/>
      <c r="FL26" s="2"/>
      <c r="FO26" s="2"/>
      <c r="FR26" s="2"/>
      <c r="FU26" s="2"/>
      <c r="FX26" s="2"/>
      <c r="GA26" s="2"/>
      <c r="GD26" s="2"/>
      <c r="GG26" s="2"/>
      <c r="GJ26" s="2"/>
      <c r="GM26" s="2"/>
      <c r="GP26" s="2"/>
      <c r="GS26" s="2"/>
      <c r="GV26" s="2"/>
      <c r="GY26" s="2"/>
      <c r="HB26" s="2"/>
      <c r="HE26" s="2"/>
      <c r="HH26" s="2"/>
      <c r="HK26" s="2"/>
      <c r="HN26" s="2"/>
      <c r="HQ26" s="2"/>
    </row>
    <row r="27" spans="5:225" x14ac:dyDescent="0.2">
      <c r="E27" s="2"/>
      <c r="H27" s="2"/>
      <c r="K27" s="2"/>
      <c r="N27" s="2"/>
      <c r="Q27" s="2"/>
      <c r="T27" s="2"/>
      <c r="X27" s="2"/>
      <c r="AB27" s="2"/>
      <c r="AE27" s="2"/>
      <c r="AH27" s="2"/>
      <c r="AK27" s="2"/>
      <c r="AN27" s="2"/>
      <c r="AQ27" s="2"/>
      <c r="AT27" s="2"/>
      <c r="AW27" s="2"/>
      <c r="AZ27" s="2"/>
      <c r="BC27" s="2"/>
      <c r="BF27" s="2"/>
      <c r="BI27" s="2"/>
      <c r="BL27" s="2"/>
      <c r="BO27" s="2"/>
      <c r="BR27" s="2"/>
      <c r="BU27" s="2"/>
      <c r="BX27" s="2"/>
      <c r="CA27" s="2"/>
      <c r="CD27" s="2"/>
      <c r="CG27" s="2"/>
      <c r="CJ27" s="2"/>
      <c r="CM27" s="2"/>
      <c r="CP27" s="2"/>
      <c r="CS27" s="2"/>
      <c r="CV27" s="2"/>
      <c r="CY27" s="2"/>
      <c r="DB27" s="2"/>
      <c r="DE27" s="2"/>
      <c r="DH27" s="2"/>
      <c r="DK27" s="2"/>
      <c r="DN27" s="2"/>
      <c r="DQ27" s="2"/>
      <c r="DT27" s="2"/>
      <c r="EA27" s="2"/>
      <c r="ED27" s="2"/>
      <c r="EG27" s="2"/>
      <c r="EJ27" s="2"/>
      <c r="EM27" s="2"/>
      <c r="EP27" s="2"/>
      <c r="ES27" s="2"/>
      <c r="EV27" s="2"/>
      <c r="FI27" s="2"/>
      <c r="FL27" s="2"/>
      <c r="FO27" s="2"/>
      <c r="FR27" s="2"/>
      <c r="FU27" s="2"/>
      <c r="FX27" s="2"/>
      <c r="GA27" s="2"/>
      <c r="GD27" s="2"/>
      <c r="GG27" s="2"/>
      <c r="GJ27" s="2"/>
      <c r="GM27" s="2"/>
      <c r="GP27" s="2"/>
      <c r="GS27" s="2"/>
      <c r="GV27" s="2"/>
      <c r="GY27" s="2"/>
      <c r="HB27" s="2"/>
      <c r="HE27" s="2"/>
      <c r="HH27" s="2"/>
      <c r="HK27" s="2"/>
      <c r="HN27" s="2"/>
      <c r="HQ27" s="2"/>
    </row>
    <row r="28" spans="5:225" x14ac:dyDescent="0.2">
      <c r="E28" s="2"/>
      <c r="H28" s="2"/>
      <c r="K28" s="2"/>
      <c r="N28" s="2"/>
      <c r="Q28" s="2"/>
      <c r="T28" s="2"/>
      <c r="X28" s="2"/>
      <c r="AB28" s="2"/>
      <c r="AE28" s="2"/>
      <c r="AH28" s="2"/>
      <c r="AK28" s="2"/>
      <c r="AN28" s="2"/>
      <c r="AQ28" s="2"/>
      <c r="AT28" s="2"/>
      <c r="AW28" s="2"/>
      <c r="AZ28" s="2"/>
      <c r="BC28" s="2"/>
      <c r="BF28" s="2"/>
      <c r="BI28" s="2"/>
      <c r="BL28" s="2"/>
      <c r="BO28" s="2"/>
      <c r="BR28" s="2"/>
      <c r="BU28" s="2"/>
      <c r="BX28" s="2"/>
      <c r="CA28" s="2"/>
      <c r="CD28" s="2"/>
      <c r="CG28" s="2"/>
      <c r="CJ28" s="2"/>
      <c r="CM28" s="2"/>
      <c r="CP28" s="2"/>
      <c r="CS28" s="2"/>
      <c r="CV28" s="2"/>
      <c r="CY28" s="2"/>
      <c r="DB28" s="2"/>
      <c r="DE28" s="2"/>
      <c r="DH28" s="2"/>
      <c r="DK28" s="2"/>
      <c r="DN28" s="2"/>
      <c r="DQ28" s="2"/>
      <c r="DT28" s="2"/>
      <c r="EA28" s="2"/>
      <c r="ED28" s="2"/>
      <c r="EG28" s="2"/>
      <c r="EJ28" s="2"/>
      <c r="EM28" s="2"/>
      <c r="EP28" s="2"/>
      <c r="ES28" s="2"/>
      <c r="EV28" s="2"/>
      <c r="FI28" s="2"/>
      <c r="FL28" s="2"/>
      <c r="FO28" s="2"/>
      <c r="FR28" s="2"/>
      <c r="FU28" s="2"/>
      <c r="FX28" s="2"/>
      <c r="GA28" s="2"/>
      <c r="GD28" s="2"/>
      <c r="GG28" s="2"/>
      <c r="GJ28" s="2"/>
      <c r="GM28" s="2"/>
      <c r="GP28" s="2"/>
      <c r="GS28" s="2"/>
      <c r="GV28" s="2"/>
      <c r="GY28" s="2"/>
      <c r="HB28" s="2"/>
      <c r="HE28" s="2"/>
      <c r="HH28" s="2"/>
      <c r="HK28" s="2"/>
      <c r="HN28" s="2"/>
      <c r="HQ28" s="2"/>
    </row>
    <row r="29" spans="5:225" x14ac:dyDescent="0.2">
      <c r="E29" s="2"/>
      <c r="H29" s="2"/>
      <c r="K29" s="2"/>
      <c r="N29" s="2"/>
      <c r="Q29" s="2"/>
      <c r="T29" s="2"/>
      <c r="X29" s="2"/>
      <c r="AB29" s="2"/>
      <c r="AE29" s="2"/>
      <c r="AH29" s="2"/>
      <c r="AK29" s="2"/>
      <c r="AN29" s="2"/>
      <c r="AQ29" s="2"/>
      <c r="AT29" s="2"/>
      <c r="AW29" s="2"/>
      <c r="AZ29" s="2"/>
      <c r="BC29" s="2"/>
      <c r="BF29" s="2"/>
      <c r="BI29" s="2"/>
      <c r="BL29" s="2"/>
      <c r="BO29" s="2"/>
      <c r="BR29" s="2"/>
      <c r="BU29" s="2"/>
      <c r="BX29" s="2"/>
      <c r="CA29" s="2"/>
      <c r="CD29" s="2"/>
      <c r="CG29" s="2"/>
      <c r="CJ29" s="2"/>
      <c r="CM29" s="2"/>
      <c r="CP29" s="2"/>
      <c r="CS29" s="2"/>
      <c r="CV29" s="2"/>
      <c r="CY29" s="2"/>
      <c r="DB29" s="2"/>
      <c r="DE29" s="2"/>
      <c r="DH29" s="2"/>
      <c r="DK29" s="2"/>
      <c r="DN29" s="2"/>
      <c r="DQ29" s="2"/>
      <c r="DT29" s="2"/>
      <c r="EA29" s="2"/>
      <c r="ED29" s="2"/>
      <c r="EG29" s="2"/>
      <c r="EJ29" s="2"/>
      <c r="EM29" s="2"/>
      <c r="EP29" s="2"/>
      <c r="ES29" s="2"/>
      <c r="EV29" s="2"/>
      <c r="FI29" s="2"/>
      <c r="FL29" s="2"/>
      <c r="FO29" s="2"/>
      <c r="FR29" s="2"/>
      <c r="FU29" s="2"/>
      <c r="FX29" s="2"/>
      <c r="GA29" s="2"/>
      <c r="GD29" s="2"/>
      <c r="GG29" s="2"/>
      <c r="GJ29" s="2"/>
      <c r="GM29" s="2"/>
      <c r="GP29" s="2"/>
      <c r="GS29" s="2"/>
      <c r="GV29" s="2"/>
      <c r="GY29" s="2"/>
      <c r="HB29" s="2"/>
      <c r="HE29" s="2"/>
      <c r="HH29" s="2"/>
      <c r="HK29" s="2"/>
      <c r="HN29" s="2"/>
      <c r="HQ29" s="2"/>
    </row>
    <row r="30" spans="5:225" x14ac:dyDescent="0.2">
      <c r="E30" s="2"/>
    </row>
    <row r="31" spans="5:225" x14ac:dyDescent="0.2">
      <c r="E31" s="2"/>
    </row>
    <row r="32" spans="5:225" x14ac:dyDescent="0.2">
      <c r="E32" s="2"/>
    </row>
    <row r="33" spans="5:5" x14ac:dyDescent="0.2">
      <c r="E33" s="2"/>
    </row>
    <row r="34" spans="5:5" x14ac:dyDescent="0.2">
      <c r="E34" s="2"/>
    </row>
  </sheetData>
  <phoneticPr fontId="5" type="noConversion"/>
  <pageMargins left="0.75" right="0.75" top="1" bottom="1" header="0.5" footer="0.5"/>
  <headerFooter alignWithMargins="0">
    <oddHeader>&amp;R&amp;"Calibri"&amp;12&amp;K000000 Unclassified - Non-Classifié&amp;1#_x000D_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AW60"/>
  <sheetViews>
    <sheetView workbookViewId="0"/>
  </sheetViews>
  <sheetFormatPr defaultRowHeight="12.75" x14ac:dyDescent="0.2"/>
  <cols>
    <col min="1" max="1" width="8.5703125" customWidth="1"/>
    <col min="31" max="31" width="8.42578125" customWidth="1"/>
    <col min="49" max="49" width="8.42578125" customWidth="1"/>
  </cols>
  <sheetData>
    <row r="1" spans="2:49" x14ac:dyDescent="0.2">
      <c r="B1" s="4"/>
      <c r="C1" s="3"/>
      <c r="D1" s="3"/>
    </row>
    <row r="2" spans="2:49" x14ac:dyDescent="0.2">
      <c r="B2" s="4"/>
      <c r="C2" s="3"/>
      <c r="D2" s="3"/>
    </row>
    <row r="3" spans="2:49" x14ac:dyDescent="0.2">
      <c r="B3" s="4"/>
      <c r="C3" s="3"/>
      <c r="D3" s="3"/>
    </row>
    <row r="4" spans="2:49" x14ac:dyDescent="0.2">
      <c r="B4" s="4"/>
      <c r="C4" s="3"/>
      <c r="D4" s="3"/>
    </row>
    <row r="5" spans="2:49" x14ac:dyDescent="0.2">
      <c r="B5" s="4"/>
      <c r="C5" s="3"/>
      <c r="D5" s="3"/>
    </row>
    <row r="6" spans="2:49" x14ac:dyDescent="0.2">
      <c r="B6" s="4"/>
      <c r="C6" s="3"/>
      <c r="D6" s="3"/>
    </row>
    <row r="11" spans="2:49" x14ac:dyDescent="0.2">
      <c r="B11" s="4"/>
      <c r="C11" s="3"/>
      <c r="D11" s="3"/>
    </row>
    <row r="12" spans="2:49" x14ac:dyDescent="0.2">
      <c r="B12" s="4"/>
      <c r="C12" s="3"/>
      <c r="D12" s="3"/>
    </row>
    <row r="13" spans="2:49" x14ac:dyDescent="0.2">
      <c r="B13" s="4"/>
      <c r="C13" s="3"/>
      <c r="D13" s="3"/>
    </row>
    <row r="14" spans="2:49" x14ac:dyDescent="0.2">
      <c r="B14" s="4"/>
      <c r="C14" s="3"/>
      <c r="D14" s="3"/>
    </row>
    <row r="15" spans="2:49" x14ac:dyDescent="0.2">
      <c r="AE15" s="2"/>
      <c r="AW15" s="2"/>
    </row>
    <row r="16" spans="2:49" x14ac:dyDescent="0.2">
      <c r="AE16" s="2"/>
      <c r="AW16" s="2"/>
    </row>
    <row r="17" spans="2:49" x14ac:dyDescent="0.2">
      <c r="AE17" s="2"/>
      <c r="AW17" s="2"/>
    </row>
    <row r="18" spans="2:49" x14ac:dyDescent="0.2">
      <c r="AE18" s="2"/>
      <c r="AW18" s="2"/>
    </row>
    <row r="19" spans="2:49" x14ac:dyDescent="0.2">
      <c r="B19" s="4"/>
      <c r="C19" s="3"/>
      <c r="D19" s="3"/>
      <c r="AD19" s="2"/>
      <c r="AE19" s="2"/>
      <c r="AW19" s="2"/>
    </row>
    <row r="20" spans="2:49" x14ac:dyDescent="0.2">
      <c r="B20" s="4"/>
      <c r="C20" s="3"/>
      <c r="D20" s="3"/>
      <c r="AD20" s="2"/>
      <c r="AW20" s="2"/>
    </row>
    <row r="21" spans="2:49" x14ac:dyDescent="0.2">
      <c r="B21" s="4"/>
      <c r="C21" s="3"/>
      <c r="D21" s="3"/>
      <c r="AD21" s="2"/>
      <c r="AW21" s="2"/>
    </row>
    <row r="22" spans="2:49" x14ac:dyDescent="0.2">
      <c r="B22" s="4"/>
      <c r="C22" s="3"/>
      <c r="D22" s="3"/>
      <c r="AD22" s="2"/>
      <c r="AW22" s="2"/>
    </row>
    <row r="23" spans="2:49" x14ac:dyDescent="0.2">
      <c r="B23" s="4"/>
      <c r="C23" s="3"/>
      <c r="D23" s="3"/>
      <c r="AD23" s="2"/>
      <c r="AW23" s="2"/>
    </row>
    <row r="24" spans="2:49" x14ac:dyDescent="0.2">
      <c r="B24" s="4"/>
      <c r="C24" s="3"/>
      <c r="D24" s="3"/>
      <c r="AD24" s="2"/>
      <c r="AW24" s="2"/>
    </row>
    <row r="31" spans="2:49" x14ac:dyDescent="0.2">
      <c r="B31" s="4"/>
      <c r="C31" s="3"/>
      <c r="D31" s="3"/>
    </row>
    <row r="32" spans="2:49" x14ac:dyDescent="0.2">
      <c r="B32" s="4"/>
      <c r="C32" s="3"/>
      <c r="D32" s="3"/>
    </row>
    <row r="33" spans="2:4" x14ac:dyDescent="0.2">
      <c r="B33" s="4"/>
      <c r="C33" s="3"/>
      <c r="D33" s="3"/>
    </row>
    <row r="34" spans="2:4" x14ac:dyDescent="0.2">
      <c r="B34" s="4"/>
      <c r="C34" s="3"/>
      <c r="D34" s="3"/>
    </row>
    <row r="35" spans="2:4" x14ac:dyDescent="0.2">
      <c r="B35" s="4"/>
      <c r="C35" s="3"/>
      <c r="D35" s="3"/>
    </row>
    <row r="36" spans="2:4" x14ac:dyDescent="0.2">
      <c r="B36" s="4"/>
      <c r="C36" s="3"/>
      <c r="D36" s="3"/>
    </row>
    <row r="37" spans="2:4" x14ac:dyDescent="0.2">
      <c r="B37" s="4"/>
      <c r="C37" s="3"/>
      <c r="D37" s="3"/>
    </row>
    <row r="38" spans="2:4" x14ac:dyDescent="0.2">
      <c r="B38" s="4"/>
      <c r="C38" s="3"/>
      <c r="D38" s="3"/>
    </row>
    <row r="39" spans="2:4" x14ac:dyDescent="0.2">
      <c r="B39" s="4"/>
      <c r="C39" s="3"/>
      <c r="D39" s="3"/>
    </row>
    <row r="40" spans="2:4" x14ac:dyDescent="0.2">
      <c r="B40" s="4"/>
      <c r="C40" s="3"/>
      <c r="D40" s="3"/>
    </row>
    <row r="41" spans="2:4" x14ac:dyDescent="0.2">
      <c r="B41" s="4"/>
      <c r="C41" s="3"/>
      <c r="D41" s="3"/>
    </row>
    <row r="42" spans="2:4" x14ac:dyDescent="0.2">
      <c r="B42" s="4"/>
      <c r="C42" s="3"/>
      <c r="D42" s="3"/>
    </row>
    <row r="43" spans="2:4" x14ac:dyDescent="0.2">
      <c r="B43" s="4"/>
      <c r="C43" s="3"/>
      <c r="D43" s="3"/>
    </row>
    <row r="44" spans="2:4" x14ac:dyDescent="0.2">
      <c r="B44" s="4"/>
      <c r="C44" s="3"/>
      <c r="D44" s="3"/>
    </row>
    <row r="45" spans="2:4" x14ac:dyDescent="0.2">
      <c r="B45" s="4"/>
      <c r="C45" s="3"/>
      <c r="D45" s="3"/>
    </row>
    <row r="46" spans="2:4" x14ac:dyDescent="0.2">
      <c r="B46" s="4"/>
      <c r="C46" s="3"/>
      <c r="D46" s="3"/>
    </row>
    <row r="47" spans="2:4" x14ac:dyDescent="0.2">
      <c r="B47" s="4"/>
      <c r="C47" s="3"/>
      <c r="D47" s="3"/>
    </row>
    <row r="48" spans="2:4" x14ac:dyDescent="0.2">
      <c r="B48" s="4"/>
      <c r="C48" s="3"/>
      <c r="D48" s="3"/>
    </row>
    <row r="55" spans="2:4" x14ac:dyDescent="0.2">
      <c r="B55" s="4"/>
      <c r="C55" s="3"/>
      <c r="D55" s="3"/>
    </row>
    <row r="56" spans="2:4" x14ac:dyDescent="0.2">
      <c r="B56" s="4"/>
      <c r="C56" s="3"/>
      <c r="D56" s="3"/>
    </row>
    <row r="57" spans="2:4" x14ac:dyDescent="0.2">
      <c r="B57" s="4"/>
      <c r="C57" s="3"/>
      <c r="D57" s="3"/>
    </row>
    <row r="58" spans="2:4" x14ac:dyDescent="0.2">
      <c r="B58" s="4"/>
      <c r="C58" s="3"/>
      <c r="D58" s="3"/>
    </row>
    <row r="59" spans="2:4" x14ac:dyDescent="0.2">
      <c r="B59" s="4"/>
      <c r="C59" s="3"/>
      <c r="D59" s="3"/>
    </row>
    <row r="60" spans="2:4" x14ac:dyDescent="0.2">
      <c r="B60" s="4"/>
      <c r="C60" s="3"/>
      <c r="D60" s="3"/>
    </row>
  </sheetData>
  <phoneticPr fontId="5" type="noConversion"/>
  <pageMargins left="0.75" right="0.75" top="1" bottom="1" header="0.5" footer="0.5"/>
  <headerFooter alignWithMargins="0">
    <oddHeader>&amp;R&amp;"Calibri"&amp;12&amp;K000000 Unclassified - Non-Classifié&amp;1#_x000D_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C3"/>
  <sheetViews>
    <sheetView workbookViewId="0">
      <selection activeCell="F17" sqref="F17"/>
    </sheetView>
  </sheetViews>
  <sheetFormatPr defaultRowHeight="12.75" x14ac:dyDescent="0.2"/>
  <sheetData>
    <row r="3" spans="3:3" ht="18.75" x14ac:dyDescent="0.3">
      <c r="C3" s="1"/>
    </row>
  </sheetData>
  <phoneticPr fontId="5" type="noConversion"/>
  <pageMargins left="0.75" right="0.75" top="1" bottom="1" header="0.5" footer="0.5"/>
  <headerFooter alignWithMargins="0">
    <oddHeader>&amp;R&amp;"Calibri"&amp;12&amp;K000000 Unclassified - Non-Classifié&amp;1#_x000D_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C3"/>
  <sheetViews>
    <sheetView workbookViewId="0">
      <selection activeCell="D17" sqref="D17"/>
    </sheetView>
  </sheetViews>
  <sheetFormatPr defaultRowHeight="12.75" x14ac:dyDescent="0.2"/>
  <sheetData>
    <row r="3" spans="3:3" ht="18.75" x14ac:dyDescent="0.3">
      <c r="C3" s="1"/>
    </row>
  </sheetData>
  <phoneticPr fontId="5" type="noConversion"/>
  <pageMargins left="0.75" right="0.75" top="1" bottom="1" header="0.5" footer="0.5"/>
  <headerFooter alignWithMargins="0">
    <oddHeader>&amp;R&amp;"Calibri"&amp;12&amp;K000000 Unclassified - Non-Classifié&amp;1#_x000D_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C3"/>
  <sheetViews>
    <sheetView workbookViewId="0">
      <selection activeCell="D16" sqref="D16"/>
    </sheetView>
  </sheetViews>
  <sheetFormatPr defaultRowHeight="12.75" x14ac:dyDescent="0.2"/>
  <sheetData>
    <row r="3" spans="3:3" ht="18.75" x14ac:dyDescent="0.3">
      <c r="C3" s="1"/>
    </row>
  </sheetData>
  <phoneticPr fontId="5" type="noConversion"/>
  <pageMargins left="0.75" right="0.75" top="1" bottom="1" header="0.5" footer="0.5"/>
  <headerFooter alignWithMargins="0">
    <oddHeader>&amp;R&amp;"Calibri"&amp;12&amp;K000000 Unclassified - Non-Classifié&amp;1#_x000D_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C3:E49"/>
  <sheetViews>
    <sheetView workbookViewId="0">
      <selection activeCell="K34" sqref="K34"/>
    </sheetView>
  </sheetViews>
  <sheetFormatPr defaultRowHeight="12.75" x14ac:dyDescent="0.2"/>
  <sheetData>
    <row r="3" spans="3:5" ht="18.75" x14ac:dyDescent="0.3">
      <c r="C3" s="1"/>
    </row>
    <row r="15" spans="3:5" x14ac:dyDescent="0.2">
      <c r="D15" s="7"/>
      <c r="E15" s="7"/>
    </row>
    <row r="16" spans="3:5" x14ac:dyDescent="0.2">
      <c r="D16" s="7"/>
      <c r="E16" s="7"/>
    </row>
    <row r="17" spans="4:5" x14ac:dyDescent="0.2">
      <c r="D17" s="7"/>
      <c r="E17" s="7"/>
    </row>
    <row r="18" spans="4:5" x14ac:dyDescent="0.2">
      <c r="D18" s="7"/>
      <c r="E18" s="7"/>
    </row>
    <row r="19" spans="4:5" x14ac:dyDescent="0.2">
      <c r="D19" s="7"/>
      <c r="E19" s="7"/>
    </row>
    <row r="20" spans="4:5" x14ac:dyDescent="0.2">
      <c r="D20" s="7"/>
      <c r="E20" s="7"/>
    </row>
    <row r="21" spans="4:5" x14ac:dyDescent="0.2">
      <c r="D21" s="7"/>
      <c r="E21" s="7"/>
    </row>
    <row r="22" spans="4:5" x14ac:dyDescent="0.2">
      <c r="D22" s="7"/>
      <c r="E22" s="7"/>
    </row>
    <row r="23" spans="4:5" x14ac:dyDescent="0.2">
      <c r="D23" s="7"/>
      <c r="E23" s="7"/>
    </row>
    <row r="24" spans="4:5" x14ac:dyDescent="0.2">
      <c r="D24" s="7"/>
      <c r="E24" s="7"/>
    </row>
    <row r="25" spans="4:5" x14ac:dyDescent="0.2">
      <c r="D25" s="7"/>
      <c r="E25" s="7"/>
    </row>
    <row r="26" spans="4:5" x14ac:dyDescent="0.2">
      <c r="D26" s="7"/>
      <c r="E26" s="7"/>
    </row>
    <row r="27" spans="4:5" x14ac:dyDescent="0.2">
      <c r="D27" s="7"/>
      <c r="E27" s="7"/>
    </row>
    <row r="28" spans="4:5" x14ac:dyDescent="0.2">
      <c r="D28" s="7"/>
      <c r="E28" s="7"/>
    </row>
    <row r="29" spans="4:5" x14ac:dyDescent="0.2">
      <c r="D29" s="7"/>
      <c r="E29" s="7"/>
    </row>
    <row r="30" spans="4:5" x14ac:dyDescent="0.2">
      <c r="D30" s="7"/>
      <c r="E30" s="7"/>
    </row>
    <row r="31" spans="4:5" x14ac:dyDescent="0.2">
      <c r="D31" s="7"/>
      <c r="E31" s="7"/>
    </row>
    <row r="32" spans="4:5" x14ac:dyDescent="0.2">
      <c r="D32" s="7"/>
      <c r="E32" s="7"/>
    </row>
    <row r="33" spans="4:5" x14ac:dyDescent="0.2">
      <c r="D33" s="7"/>
      <c r="E33" s="7"/>
    </row>
    <row r="34" spans="4:5" x14ac:dyDescent="0.2">
      <c r="D34" s="7"/>
      <c r="E34" s="7"/>
    </row>
    <row r="35" spans="4:5" x14ac:dyDescent="0.2">
      <c r="D35" s="7"/>
      <c r="E35" s="7"/>
    </row>
    <row r="36" spans="4:5" x14ac:dyDescent="0.2">
      <c r="D36" s="7"/>
      <c r="E36" s="7"/>
    </row>
    <row r="37" spans="4:5" x14ac:dyDescent="0.2">
      <c r="D37" s="7"/>
      <c r="E37" s="7"/>
    </row>
    <row r="38" spans="4:5" x14ac:dyDescent="0.2">
      <c r="D38" s="7"/>
      <c r="E38" s="7"/>
    </row>
    <row r="39" spans="4:5" x14ac:dyDescent="0.2">
      <c r="D39" s="7"/>
      <c r="E39" s="7"/>
    </row>
    <row r="40" spans="4:5" x14ac:dyDescent="0.2">
      <c r="D40" s="7"/>
      <c r="E40" s="7"/>
    </row>
    <row r="41" spans="4:5" x14ac:dyDescent="0.2">
      <c r="D41" s="7"/>
      <c r="E41" s="7"/>
    </row>
    <row r="42" spans="4:5" x14ac:dyDescent="0.2">
      <c r="D42" s="7"/>
      <c r="E42" s="7"/>
    </row>
    <row r="43" spans="4:5" x14ac:dyDescent="0.2">
      <c r="D43" s="7"/>
      <c r="E43" s="7"/>
    </row>
    <row r="44" spans="4:5" x14ac:dyDescent="0.2">
      <c r="D44" s="7"/>
      <c r="E44" s="7"/>
    </row>
    <row r="45" spans="4:5" x14ac:dyDescent="0.2">
      <c r="D45" s="7"/>
      <c r="E45" s="7"/>
    </row>
    <row r="46" spans="4:5" x14ac:dyDescent="0.2">
      <c r="D46" s="7"/>
      <c r="E46" s="7"/>
    </row>
    <row r="47" spans="4:5" x14ac:dyDescent="0.2">
      <c r="D47" s="7"/>
      <c r="E47" s="7"/>
    </row>
    <row r="48" spans="4:5" x14ac:dyDescent="0.2">
      <c r="D48" s="7"/>
      <c r="E48" s="7"/>
    </row>
    <row r="49" spans="4:5" x14ac:dyDescent="0.2">
      <c r="D49" s="7"/>
      <c r="E49" s="7"/>
    </row>
  </sheetData>
  <phoneticPr fontId="5" type="noConversion"/>
  <pageMargins left="0.75" right="0.75" top="1" bottom="1" header="0.5" footer="0.5"/>
  <headerFooter alignWithMargins="0">
    <oddHeader>&amp;R&amp;"Calibri"&amp;12&amp;K000000 Unclassified - Non-Classifié&amp;1#_x000D_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C3"/>
  <sheetViews>
    <sheetView workbookViewId="0">
      <selection activeCell="D17" sqref="D17"/>
    </sheetView>
  </sheetViews>
  <sheetFormatPr defaultRowHeight="12.75" x14ac:dyDescent="0.2"/>
  <sheetData>
    <row r="3" spans="3:3" ht="18.75" x14ac:dyDescent="0.3">
      <c r="C3" s="1"/>
    </row>
  </sheetData>
  <phoneticPr fontId="5" type="noConversion"/>
  <pageMargins left="0.75" right="0.75" top="1" bottom="1" header="0.5" footer="0.5"/>
  <headerFooter alignWithMargins="0">
    <oddHeader>&amp;R&amp;"Calibri"&amp;12&amp;K000000 Unclassified - Non-Classifié&amp;1#_x000D_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C3"/>
  <sheetViews>
    <sheetView workbookViewId="0">
      <selection activeCell="E16" sqref="E16"/>
    </sheetView>
  </sheetViews>
  <sheetFormatPr defaultRowHeight="12.75" x14ac:dyDescent="0.2"/>
  <sheetData>
    <row r="3" spans="3:3" ht="18.75" x14ac:dyDescent="0.3">
      <c r="C3" s="1"/>
    </row>
  </sheetData>
  <phoneticPr fontId="5" type="noConversion"/>
  <pageMargins left="0.75" right="0.75" top="1" bottom="1" header="0.5" footer="0.5"/>
  <headerFooter alignWithMargins="0">
    <oddHeader>&amp;R&amp;"Calibri"&amp;12&amp;K000000 Unclassified - Non-Classifié&amp;1#_x000D_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C3"/>
  <sheetViews>
    <sheetView workbookViewId="0">
      <selection activeCell="D16" sqref="D16"/>
    </sheetView>
  </sheetViews>
  <sheetFormatPr defaultRowHeight="12.75" x14ac:dyDescent="0.2"/>
  <sheetData>
    <row r="3" spans="3:3" ht="18.75" x14ac:dyDescent="0.3">
      <c r="C3" s="1"/>
    </row>
  </sheetData>
  <phoneticPr fontId="5" type="noConversion"/>
  <pageMargins left="0.75" right="0.75" top="1" bottom="1" header="0.5" footer="0.5"/>
  <headerFooter alignWithMargins="0">
    <oddHeader>&amp;R&amp;"Calibri"&amp;12&amp;K000000 Unclassified - Non-Classifié&amp;1#_x000D_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</vt:lpstr>
      <vt:lpstr>D</vt:lpstr>
      <vt:lpstr>E</vt:lpstr>
      <vt:lpstr>F</vt:lpstr>
      <vt:lpstr>G</vt:lpstr>
      <vt:lpstr>H</vt:lpstr>
      <vt:lpstr>I</vt:lpstr>
      <vt:lpstr>J</vt:lpstr>
      <vt:lpstr>K</vt:lpstr>
      <vt:lpstr>L</vt:lpstr>
      <vt:lpstr>M</vt:lpstr>
      <vt:lpstr>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Science</cp:lastModifiedBy>
  <dcterms:created xsi:type="dcterms:W3CDTF">2014-10-15T16:16:35Z</dcterms:created>
  <dcterms:modified xsi:type="dcterms:W3CDTF">2026-02-02T18:48:57Z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e6cdb53-fd15-486d-84de-c510e3a62203_Enabled">
    <vt:lpwstr>true</vt:lpwstr>
  </property>
  <property fmtid="{D5CDD505-2E9C-101B-9397-08002B2CF9AE}" pid="3" name="MSIP_Label_4e6cdb53-fd15-486d-84de-c510e3a62203_SetDate">
    <vt:lpwstr>2025-11-12T18:26:49Z</vt:lpwstr>
  </property>
  <property fmtid="{D5CDD505-2E9C-101B-9397-08002B2CF9AE}" pid="4" name="MSIP_Label_4e6cdb53-fd15-486d-84de-c510e3a62203_Method">
    <vt:lpwstr>Standard</vt:lpwstr>
  </property>
  <property fmtid="{D5CDD505-2E9C-101B-9397-08002B2CF9AE}" pid="5" name="MSIP_Label_4e6cdb53-fd15-486d-84de-c510e3a62203_Name">
    <vt:lpwstr>UNCLASSIFIED - NON-CLASSIFIÉ</vt:lpwstr>
  </property>
  <property fmtid="{D5CDD505-2E9C-101B-9397-08002B2CF9AE}" pid="6" name="MSIP_Label_4e6cdb53-fd15-486d-84de-c510e3a62203_SiteId">
    <vt:lpwstr>1594fdae-a1d9-4405-915d-011467234338</vt:lpwstr>
  </property>
  <property fmtid="{D5CDD505-2E9C-101B-9397-08002B2CF9AE}" pid="7" name="MSIP_Label_4e6cdb53-fd15-486d-84de-c510e3a62203_ActionId">
    <vt:lpwstr>bd2d85e7-5cc5-41d7-806a-b5fed30ff3e7</vt:lpwstr>
  </property>
  <property fmtid="{D5CDD505-2E9C-101B-9397-08002B2CF9AE}" pid="8" name="MSIP_Label_4e6cdb53-fd15-486d-84de-c510e3a62203_ContentBits">
    <vt:lpwstr>1</vt:lpwstr>
  </property>
</Properties>
</file>